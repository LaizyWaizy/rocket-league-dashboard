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oster" sheetId="2" state="visible" r:id="rId2"/>
    <sheet name="Availability" sheetId="3" state="visible" r:id="rId3"/>
    <sheet name="Schedule" sheetId="4" state="visible" r:id="rId4"/>
    <sheet name="Match Records" sheetId="5" state="visible" r:id="rId5"/>
    <sheet name="League Standings" sheetId="6" state="visible" r:id="rId6"/>
    <sheet name="Practice Plan" sheetId="7" state="visible" r:id="rId7"/>
    <sheet name="Lists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m/d/yyyy"/>
  </numFmts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F2933"/>
      <sz val="11"/>
    </font>
    <font>
      <b val="1"/>
      <color rgb="00FFFFFF"/>
    </font>
    <font>
      <b val="1"/>
      <color rgb="001F2933"/>
      <sz val="18"/>
    </font>
    <font>
      <b val="1"/>
      <color rgb="00FFFFFF"/>
      <sz val="14"/>
    </font>
    <font>
      <name val="Aptos"/>
      <b val="1"/>
      <color rgb="00FFFFFF"/>
      <sz val="20"/>
    </font>
    <font>
      <name val="Aptos"/>
      <family val="2"/>
      <color theme="1"/>
      <sz val="11"/>
      <scheme val="minor"/>
    </font>
    <font>
      <name val="Aptos"/>
      <i val="1"/>
      <color rgb="001F2933"/>
      <sz val="11"/>
    </font>
    <font>
      <name val="Aptos"/>
      <b val="1"/>
      <color rgb="00FFFFFF"/>
    </font>
    <font>
      <name val="Aptos"/>
      <b val="1"/>
      <color rgb="001F2933"/>
      <sz val="18"/>
    </font>
    <font>
      <name val="Aptos"/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8202B"/>
      </patternFill>
    </fill>
    <fill>
      <patternFill patternType="solid">
        <fgColor rgb="00F4F7FA"/>
      </patternFill>
    </fill>
    <fill>
      <patternFill patternType="solid">
        <fgColor rgb="0016A3A8"/>
      </patternFill>
    </fill>
    <fill>
      <patternFill patternType="solid">
        <fgColor rgb="00EAF7F7"/>
      </patternFill>
    </fill>
    <fill>
      <patternFill patternType="solid">
        <fgColor rgb="00FFF9E8"/>
      </patternFill>
    </fill>
  </fills>
  <borders count="11">
    <border>
      <left/>
      <right/>
      <top/>
      <bottom/>
      <diagonal/>
    </border>
    <border>
      <left style="thin">
        <color rgb="00C9D3DC"/>
      </left>
      <right style="thin">
        <color rgb="00C9D3DC"/>
      </right>
      <top style="thin">
        <color rgb="00C9D3DC"/>
      </top>
      <bottom style="thin">
        <color rgb="00C9D3DC"/>
      </bottom>
    </border>
    <border>
      <left/>
      <right/>
      <top style="thin">
        <color rgb="00C9D3DC"/>
      </top>
      <bottom/>
      <diagonal/>
    </border>
    <border>
      <left/>
      <right style="thin">
        <color rgb="00C9D3DC"/>
      </right>
      <top style="thin">
        <color rgb="00C9D3DC"/>
      </top>
      <bottom/>
      <diagonal/>
    </border>
    <border>
      <left/>
      <right/>
      <top style="thin">
        <color rgb="00C9D3DC"/>
      </top>
      <bottom style="thin">
        <color rgb="00C9D3DC"/>
      </bottom>
      <diagonal/>
    </border>
    <border>
      <left/>
      <right style="thin">
        <color rgb="00C9D3DC"/>
      </right>
      <top style="thin">
        <color rgb="00C9D3DC"/>
      </top>
      <bottom style="thin">
        <color rgb="00C9D3DC"/>
      </bottom>
      <diagonal/>
    </border>
    <border>
      <left style="thin">
        <color rgb="00C9D3DC"/>
      </left>
      <right/>
      <top/>
      <bottom/>
      <diagonal/>
    </border>
    <border>
      <left/>
      <right style="thin">
        <color rgb="00C9D3DC"/>
      </right>
      <top/>
      <bottom/>
      <diagonal/>
    </border>
    <border>
      <left style="thin">
        <color rgb="00C9D3DC"/>
      </left>
      <right/>
      <top/>
      <bottom style="thin">
        <color rgb="00C9D3DC"/>
      </bottom>
      <diagonal/>
    </border>
    <border>
      <left/>
      <right/>
      <top/>
      <bottom style="thin">
        <color rgb="00C9D3DC"/>
      </bottom>
      <diagonal/>
    </border>
    <border>
      <left/>
      <right style="thin">
        <color rgb="00C9D3DC"/>
      </right>
      <top/>
      <bottom style="thin">
        <color rgb="00C9D3DC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7" fillId="0" borderId="1" pivotButton="0" quotePrefix="0" xfId="0"/>
    <xf numFmtId="0" fontId="3" fillId="2" borderId="0" pivotButton="0" quotePrefix="0" xfId="0"/>
    <xf numFmtId="0" fontId="10" fillId="5" borderId="1" applyAlignment="1" pivotButton="0" quotePrefix="0" xfId="0">
      <alignment horizontal="center" vertical="center"/>
    </xf>
    <xf numFmtId="164" fontId="7" fillId="0" borderId="0" pivotButton="0" quotePrefix="0" xfId="0"/>
    <xf numFmtId="0" fontId="11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wrapText="1"/>
    </xf>
    <xf numFmtId="0" fontId="7" fillId="6" borderId="1" applyAlignment="1" pivotButton="0" quotePrefix="0" xfId="0">
      <alignment vertical="top" wrapText="1"/>
    </xf>
    <xf numFmtId="0" fontId="7" fillId="5" borderId="1" applyAlignment="1" pivotButton="0" quotePrefix="0" xfId="0">
      <alignment horizontal="left" wrapText="1"/>
    </xf>
    <xf numFmtId="0" fontId="7" fillId="6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left" wrapText="1"/>
    </xf>
    <xf numFmtId="165" fontId="7" fillId="6" borderId="1" applyAlignment="1" pivotButton="0" quotePrefix="0" xfId="0">
      <alignment vertical="top" wrapText="1"/>
    </xf>
    <xf numFmtId="18" fontId="7" fillId="6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dxfs count="3">
    <dxf>
      <fill>
        <patternFill patternType="solid">
          <fgColor rgb="00DDF3E5"/>
        </patternFill>
      </fill>
    </dxf>
    <dxf>
      <fill>
        <patternFill patternType="solid">
          <fgColor rgb="00F9DDDD"/>
        </patternFill>
      </fill>
    </dxf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Series Results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'Dashboard'!K4</f>
            </strRef>
          </tx>
          <spPr>
            <a:ln>
              <a:prstDash val="solid"/>
            </a:ln>
          </spPr>
          <cat>
            <numRef>
              <f>'Dashboard'!$J$5:$J$7</f>
            </numRef>
          </cat>
          <val>
            <numRef>
              <f>'Dashboard'!$K$5:$K$7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Result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Series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8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osterTable" displayName="RosterTable" ref="A4:J34" headerRowCount="1">
  <autoFilter ref="A4:J34"/>
  <tableColumns count="10">
    <tableColumn id="1" name="Player"/>
    <tableColumn id="2" name="Role"/>
    <tableColumn id="3" name="Platform"/>
    <tableColumn id="4" name="Epic ID"/>
    <tableColumn id="5" name="Rank/MMR"/>
    <tableColumn id="6" name="Status"/>
    <tableColumn id="7" name="Main Car"/>
    <tableColumn id="8" name="Contact"/>
    <tableColumn id="9" name="Time Zone"/>
    <tableColumn id="1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vailabilityTable" displayName="AvailabilityTable" ref="A4:J34" headerRowCount="1">
  <autoFilter ref="A4:J34"/>
  <tableColumns count="10">
    <tableColumn id="1" name="Player"/>
    <tableColumn id="2" name="Monday"/>
    <tableColumn id="3" name="Tuesday"/>
    <tableColumn id="4" name="Wednesday"/>
    <tableColumn id="5" name="Thursday"/>
    <tableColumn id="6" name="Friday"/>
    <tableColumn id="7" name="Saturday"/>
    <tableColumn id="8" name="Sunday"/>
    <tableColumn id="9" name="Preferred Time"/>
    <tableColumn id="10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heduleTable" displayName="ScheduleTable" ref="A4:M104" headerRowCount="1">
  <autoFilter ref="A4:M104"/>
  <tableColumns count="13">
    <tableColumn id="1" name="Date"/>
    <tableColumn id="2" name="Type"/>
    <tableColumn id="3" name="Opponent/Event"/>
    <tableColumn id="4" name="League"/>
    <tableColumn id="5" name="Start Time"/>
    <tableColumn id="6" name="End Time"/>
    <tableColumn id="7" name="Lineup 1"/>
    <tableColumn id="8" name="Lineup 2"/>
    <tableColumn id="9" name="Lineup 3"/>
    <tableColumn id="10" name="Sub"/>
    <tableColumn id="11" name="Status"/>
    <tableColumn id="12" name="Link/Location"/>
    <tableColumn id="13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tchRecordsTable" displayName="MatchRecordsTable" ref="A4:N204" headerRowCount="1">
  <autoFilter ref="A4:N204"/>
  <tableColumns count="14">
    <tableColumn id="1" name="Date"/>
    <tableColumn id="2" name="League"/>
    <tableColumn id="3" name="Opponent"/>
    <tableColumn id="4" name="Mode"/>
    <tableColumn id="5" name="Round/Week"/>
    <tableColumn id="6" name="Our Games Won"/>
    <tableColumn id="7" name="Opponent Games Won"/>
    <tableColumn id="8" name="Result"/>
    <tableColumn id="9" name="Series Score"/>
    <tableColumn id="10" name="Our Goals"/>
    <tableColumn id="11" name="Opponent Goals"/>
    <tableColumn id="12" name="MVP"/>
    <tableColumn id="13" name="Replay/VOD Link"/>
    <tableColumn id="1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LeagueStandingsTable" displayName="LeagueStandingsTable" ref="A4:J34" headerRowCount="1">
  <autoFilter ref="A4:J34"/>
  <tableColumns count="10">
    <tableColumn id="1" name="Team"/>
    <tableColumn id="2" name="Played"/>
    <tableColumn id="3" name="Wins"/>
    <tableColumn id="4" name="Losses"/>
    <tableColumn id="5" name="Ties"/>
    <tableColumn id="6" name="Games Won"/>
    <tableColumn id="7" name="Games Lost"/>
    <tableColumn id="8" name="Goal Diff"/>
    <tableColumn id="9" name="Points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acticePlanTable" displayName="PracticePlanTable" ref="A4:I104" headerRowCount="1">
  <autoFilter ref="A4:I104"/>
  <tableColumns count="9">
    <tableColumn id="1" name="Date"/>
    <tableColumn id="2" name="Focus"/>
    <tableColumn id="3" name="Drill/Replay"/>
    <tableColumn id="4" name="Players"/>
    <tableColumn id="5" name="Start"/>
    <tableColumn id="6" name="End"/>
    <tableColumn id="7" name="Priority"/>
    <tableColumn id="8" name="Completed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12" customWidth="1" min="5" max="5"/>
    <col width="28" customWidth="1" min="6" max="6"/>
    <col width="14" customWidth="1" min="7" max="7"/>
    <col width="22" customWidth="1" min="8" max="8"/>
    <col width="12" customWidth="1" min="10" max="10"/>
    <col width="12" customWidth="1" min="11" max="11"/>
  </cols>
  <sheetData>
    <row r="1">
      <c r="A1" s="1" t="inlineStr">
        <is>
          <t>Rocket League Team Manager</t>
        </is>
      </c>
    </row>
    <row r="2">
      <c r="A2" s="3" t="inlineStr">
        <is>
          <t>Roster, schedule, league record, and overall record tracker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Overall Series Record</t>
        </is>
      </c>
      <c r="B4" s="19" t="n"/>
      <c r="C4" s="20" t="n"/>
      <c r="D4" s="2" t="n"/>
      <c r="E4" s="4" t="inlineStr">
        <is>
          <t>Series Win %</t>
        </is>
      </c>
      <c r="F4" s="19" t="n"/>
      <c r="G4" s="20" t="n"/>
      <c r="H4" s="2" t="n"/>
      <c r="J4" s="6" t="inlineStr">
        <is>
          <t>Result</t>
        </is>
      </c>
      <c r="K4" s="6" t="inlineStr">
        <is>
          <t>Count</t>
        </is>
      </c>
    </row>
    <row r="5">
      <c r="A5" s="7">
        <f>COUNTIF('Match Records'!H:H,"Win")&amp;"-"&amp;COUNTIF('Match Records'!H:H,"Loss")&amp;IF(COUNTIF('Match Records'!H:H,"Tie")&gt;0,"-"&amp;COUNTIF('Match Records'!H:H,"Tie"),"")</f>
        <v/>
      </c>
      <c r="B5" s="21" t="n"/>
      <c r="C5" s="22" t="n"/>
      <c r="D5" s="8">
        <f>IFERROR(COUNTIF('Match Records'!H:H,"Win")/(COUNTIF('Match Records'!H:H,"Win")+COUNTIF('Match Records'!H:H,"Loss")+COUNTIF('Match Records'!H:H,"Tie")),0)</f>
        <v/>
      </c>
      <c r="E5" s="7">
        <f>IFERROR(COUNTIF('Match Records'!H:H,"Win")/COUNTA('Match Records'!H:H)-1/COUNTA('Match Records'!H:H),0)</f>
        <v/>
      </c>
      <c r="F5" s="21" t="n"/>
      <c r="G5" s="22" t="n"/>
      <c r="H5" s="2" t="n"/>
      <c r="J5" t="inlineStr">
        <is>
          <t>Win</t>
        </is>
      </c>
      <c r="K5">
        <f>COUNTIF('Match Records'!H:H,J5)</f>
        <v/>
      </c>
    </row>
    <row r="6">
      <c r="A6" s="23" t="n"/>
      <c r="B6" s="24" t="n"/>
      <c r="C6" s="25" t="n"/>
      <c r="D6" s="2" t="n"/>
      <c r="E6" s="23" t="n"/>
      <c r="F6" s="24" t="n"/>
      <c r="G6" s="25" t="n"/>
      <c r="H6" s="2" t="n"/>
      <c r="J6" t="inlineStr">
        <is>
          <t>Loss</t>
        </is>
      </c>
      <c r="K6">
        <f>COUNTIF('Match Records'!H:H,J6)</f>
        <v/>
      </c>
    </row>
    <row r="7">
      <c r="A7" s="4" t="inlineStr">
        <is>
          <t>Games Record</t>
        </is>
      </c>
      <c r="B7" s="19" t="n"/>
      <c r="C7" s="20" t="n"/>
      <c r="D7" s="2" t="n"/>
      <c r="E7" s="4" t="inlineStr">
        <is>
          <t>Game Win %</t>
        </is>
      </c>
      <c r="F7" s="19" t="n"/>
      <c r="G7" s="20" t="n"/>
      <c r="H7" s="2" t="n"/>
      <c r="J7" t="inlineStr">
        <is>
          <t>Tie</t>
        </is>
      </c>
      <c r="K7">
        <f>COUNTIF('Match Records'!H:H,J7)</f>
        <v/>
      </c>
    </row>
    <row r="8">
      <c r="A8" s="7">
        <f>SUM('Match Records'!F:F)&amp;"-"&amp;SUM('Match Records'!G:G)</f>
        <v/>
      </c>
      <c r="B8" s="21" t="n"/>
      <c r="C8" s="22" t="n"/>
      <c r="D8" s="8">
        <f>IFERROR(SUM('Match Records'!F:F)/(SUM('Match Records'!F:F)+SUM('Match Records'!G:G)),0)</f>
        <v/>
      </c>
      <c r="E8" s="7">
        <f>IFERROR(SUM('Match Records'!F:F)/(SUM('Match Records'!F:F)+SUM('Match Records'!G:G)),0)</f>
        <v/>
      </c>
      <c r="F8" s="21" t="n"/>
      <c r="G8" s="22" t="n"/>
      <c r="H8" s="2" t="n"/>
    </row>
    <row r="9">
      <c r="A9" s="23" t="n"/>
      <c r="B9" s="24" t="n"/>
      <c r="C9" s="25" t="n"/>
      <c r="D9" s="2" t="n"/>
      <c r="E9" s="23" t="n"/>
      <c r="F9" s="24" t="n"/>
      <c r="G9" s="25" t="n"/>
      <c r="H9" s="2" t="n"/>
    </row>
    <row r="10">
      <c r="A10" s="4" t="inlineStr">
        <is>
          <t>Goal Differential</t>
        </is>
      </c>
      <c r="B10" s="19" t="n"/>
      <c r="C10" s="20" t="n"/>
      <c r="D10" s="2" t="n"/>
      <c r="E10" s="4" t="inlineStr">
        <is>
          <t>Goals For / Against</t>
        </is>
      </c>
      <c r="F10" s="19" t="n"/>
      <c r="G10" s="20" t="n"/>
      <c r="H10" s="2" t="n"/>
    </row>
    <row r="11">
      <c r="A11" s="7">
        <f>SUM('Match Records'!J:J)-SUM('Match Records'!K:K)</f>
        <v/>
      </c>
      <c r="B11" s="21" t="n"/>
      <c r="C11" s="22" t="n"/>
      <c r="D11" s="2" t="n"/>
      <c r="E11" s="7">
        <f>SUM('Match Records'!J:J)&amp;" / "&amp;SUM('Match Records'!K:K)</f>
        <v/>
      </c>
      <c r="F11" s="21" t="n"/>
      <c r="G11" s="22" t="n"/>
      <c r="H11" s="2" t="n"/>
    </row>
    <row r="12">
      <c r="A12" s="23" t="n"/>
      <c r="B12" s="24" t="n"/>
      <c r="C12" s="25" t="n"/>
      <c r="D12" s="2" t="n"/>
      <c r="E12" s="23" t="n"/>
      <c r="F12" s="24" t="n"/>
      <c r="G12" s="25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9" t="inlineStr">
        <is>
          <t>Upcoming Schedule</t>
        </is>
      </c>
    </row>
    <row r="15">
      <c r="A15" s="10" t="inlineStr">
        <is>
          <t>Date</t>
        </is>
      </c>
      <c r="B15" s="10" t="inlineStr">
        <is>
          <t>Type</t>
        </is>
      </c>
      <c r="C15" s="10" t="inlineStr">
        <is>
          <t>Opponent/Event</t>
        </is>
      </c>
      <c r="D15" s="10" t="inlineStr">
        <is>
          <t>League</t>
        </is>
      </c>
      <c r="E15" s="10" t="inlineStr">
        <is>
          <t>Start</t>
        </is>
      </c>
      <c r="F15" s="10" t="inlineStr">
        <is>
          <t>Lineup</t>
        </is>
      </c>
      <c r="G15" s="10" t="inlineStr">
        <is>
          <t>Status</t>
        </is>
      </c>
      <c r="H15" s="10" t="inlineStr">
        <is>
          <t>Link</t>
        </is>
      </c>
    </row>
    <row r="16">
      <c r="A16" s="11">
        <f>IFERROR(INDEX(Schedule!A:A,5),"")</f>
        <v/>
      </c>
      <c r="B16" s="11">
        <f>IFERROR(INDEX(Schedule!B:B,5),"")</f>
        <v/>
      </c>
      <c r="C16" s="11">
        <f>IFERROR(INDEX(Schedule!C:C,5),"")</f>
        <v/>
      </c>
      <c r="D16" s="11">
        <f>IFERROR(INDEX(Schedule!D:D,5),"")</f>
        <v/>
      </c>
      <c r="E16" s="11">
        <f>IFERROR(INDEX(Schedule!E:E,5),"")</f>
        <v/>
      </c>
      <c r="F16" s="11">
        <f>IFERROR(INDEX(Schedule!G:G,5)&amp;", "&amp;INDEX(Schedule!H:H,5)&amp;", "&amp;INDEX(Schedule!I:I,5),"")</f>
        <v/>
      </c>
      <c r="G16" s="11">
        <f>IFERROR(INDEX(Schedule!K:K,5),"")</f>
        <v/>
      </c>
      <c r="H16" s="11">
        <f>IFERROR(INDEX(Schedule!L:L,5),"")</f>
        <v/>
      </c>
    </row>
    <row r="17">
      <c r="A17" s="11">
        <f>IFERROR(INDEX(Schedule!A:A,6),"")</f>
        <v/>
      </c>
      <c r="B17" s="11">
        <f>IFERROR(INDEX(Schedule!B:B,6),"")</f>
        <v/>
      </c>
      <c r="C17" s="11">
        <f>IFERROR(INDEX(Schedule!C:C,6),"")</f>
        <v/>
      </c>
      <c r="D17" s="11">
        <f>IFERROR(INDEX(Schedule!D:D,6),"")</f>
        <v/>
      </c>
      <c r="E17" s="11">
        <f>IFERROR(INDEX(Schedule!E:E,6),"")</f>
        <v/>
      </c>
      <c r="F17" s="11">
        <f>IFERROR(INDEX(Schedule!G:G,6)&amp;", "&amp;INDEX(Schedule!H:H,6)&amp;", "&amp;INDEX(Schedule!I:I,6),"")</f>
        <v/>
      </c>
      <c r="G17" s="11">
        <f>IFERROR(INDEX(Schedule!K:K,6),"")</f>
        <v/>
      </c>
      <c r="H17" s="11">
        <f>IFERROR(INDEX(Schedule!L:L,6),"")</f>
        <v/>
      </c>
    </row>
    <row r="18">
      <c r="A18" s="11">
        <f>IFERROR(INDEX(Schedule!A:A,7),"")</f>
        <v/>
      </c>
      <c r="B18" s="11">
        <f>IFERROR(INDEX(Schedule!B:B,7),"")</f>
        <v/>
      </c>
      <c r="C18" s="11">
        <f>IFERROR(INDEX(Schedule!C:C,7),"")</f>
        <v/>
      </c>
      <c r="D18" s="11">
        <f>IFERROR(INDEX(Schedule!D:D,7),"")</f>
        <v/>
      </c>
      <c r="E18" s="11">
        <f>IFERROR(INDEX(Schedule!E:E,7),"")</f>
        <v/>
      </c>
      <c r="F18" s="11">
        <f>IFERROR(INDEX(Schedule!G:G,7)&amp;", "&amp;INDEX(Schedule!H:H,7)&amp;", "&amp;INDEX(Schedule!I:I,7),"")</f>
        <v/>
      </c>
      <c r="G18" s="11">
        <f>IFERROR(INDEX(Schedule!K:K,7),"")</f>
        <v/>
      </c>
      <c r="H18" s="11">
        <f>IFERROR(INDEX(Schedule!L:L,7),"")</f>
        <v/>
      </c>
    </row>
    <row r="19">
      <c r="A19" s="11">
        <f>IFERROR(INDEX(Schedule!A:A,8),"")</f>
        <v/>
      </c>
      <c r="B19" s="11">
        <f>IFERROR(INDEX(Schedule!B:B,8),"")</f>
        <v/>
      </c>
      <c r="C19" s="11">
        <f>IFERROR(INDEX(Schedule!C:C,8),"")</f>
        <v/>
      </c>
      <c r="D19" s="11">
        <f>IFERROR(INDEX(Schedule!D:D,8),"")</f>
        <v/>
      </c>
      <c r="E19" s="11">
        <f>IFERROR(INDEX(Schedule!E:E,8),"")</f>
        <v/>
      </c>
      <c r="F19" s="11">
        <f>IFERROR(INDEX(Schedule!G:G,8)&amp;", "&amp;INDEX(Schedule!H:H,8)&amp;", "&amp;INDEX(Schedule!I:I,8),"")</f>
        <v/>
      </c>
      <c r="G19" s="11">
        <f>IFERROR(INDEX(Schedule!K:K,8),"")</f>
        <v/>
      </c>
      <c r="H19" s="11">
        <f>IFERROR(INDEX(Schedule!L:L,8),"")</f>
        <v/>
      </c>
    </row>
    <row r="20">
      <c r="A20" s="11">
        <f>IFERROR(INDEX(Schedule!A:A,9),"")</f>
        <v/>
      </c>
      <c r="B20" s="11">
        <f>IFERROR(INDEX(Schedule!B:B,9),"")</f>
        <v/>
      </c>
      <c r="C20" s="11">
        <f>IFERROR(INDEX(Schedule!C:C,9),"")</f>
        <v/>
      </c>
      <c r="D20" s="11">
        <f>IFERROR(INDEX(Schedule!D:D,9),"")</f>
        <v/>
      </c>
      <c r="E20" s="11">
        <f>IFERROR(INDEX(Schedule!E:E,9),"")</f>
        <v/>
      </c>
      <c r="F20" s="11">
        <f>IFERROR(INDEX(Schedule!G:G,9)&amp;", "&amp;INDEX(Schedule!H:H,9)&amp;", "&amp;INDEX(Schedule!I:I,9),"")</f>
        <v/>
      </c>
      <c r="G20" s="11">
        <f>IFERROR(INDEX(Schedule!K:K,9),"")</f>
        <v/>
      </c>
      <c r="H20" s="11">
        <f>IFERROR(INDEX(Schedule!L:L,9),"")</f>
        <v/>
      </c>
    </row>
    <row r="21">
      <c r="A21" s="11">
        <f>IFERROR(INDEX(Schedule!A:A,10),"")</f>
        <v/>
      </c>
      <c r="B21" s="11">
        <f>IFERROR(INDEX(Schedule!B:B,10),"")</f>
        <v/>
      </c>
      <c r="C21" s="11">
        <f>IFERROR(INDEX(Schedule!C:C,10),"")</f>
        <v/>
      </c>
      <c r="D21" s="11">
        <f>IFERROR(INDEX(Schedule!D:D,10),"")</f>
        <v/>
      </c>
      <c r="E21" s="11">
        <f>IFERROR(INDEX(Schedule!E:E,10),"")</f>
        <v/>
      </c>
      <c r="F21" s="11">
        <f>IFERROR(INDEX(Schedule!G:G,10)&amp;", "&amp;INDEX(Schedule!H:H,10)&amp;", "&amp;INDEX(Schedule!I:I,10),"")</f>
        <v/>
      </c>
      <c r="G21" s="11">
        <f>IFERROR(INDEX(Schedule!K:K,10),"")</f>
        <v/>
      </c>
      <c r="H21" s="11">
        <f>IFERROR(INDEX(Schedule!L:L,10),"")</f>
        <v/>
      </c>
    </row>
    <row r="22">
      <c r="A22" s="11">
        <f>IFERROR(INDEX(Schedule!A:A,11),"")</f>
        <v/>
      </c>
      <c r="B22" s="11">
        <f>IFERROR(INDEX(Schedule!B:B,11),"")</f>
        <v/>
      </c>
      <c r="C22" s="11">
        <f>IFERROR(INDEX(Schedule!C:C,11),"")</f>
        <v/>
      </c>
      <c r="D22" s="11">
        <f>IFERROR(INDEX(Schedule!D:D,11),"")</f>
        <v/>
      </c>
      <c r="E22" s="11">
        <f>IFERROR(INDEX(Schedule!E:E,11),"")</f>
        <v/>
      </c>
      <c r="F22" s="11">
        <f>IFERROR(INDEX(Schedule!G:G,11)&amp;", "&amp;INDEX(Schedule!H:H,11)&amp;", "&amp;INDEX(Schedule!I:I,11),"")</f>
        <v/>
      </c>
      <c r="G22" s="11">
        <f>IFERROR(INDEX(Schedule!K:K,11),"")</f>
        <v/>
      </c>
      <c r="H22" s="11">
        <f>IFERROR(INDEX(Schedule!L:L,11),"")</f>
        <v/>
      </c>
    </row>
    <row r="23">
      <c r="A23" s="11">
        <f>IFERROR(INDEX(Schedule!A:A,12),"")</f>
        <v/>
      </c>
      <c r="B23" s="11">
        <f>IFERROR(INDEX(Schedule!B:B,12),"")</f>
        <v/>
      </c>
      <c r="C23" s="11">
        <f>IFERROR(INDEX(Schedule!C:C,12),"")</f>
        <v/>
      </c>
      <c r="D23" s="11">
        <f>IFERROR(INDEX(Schedule!D:D,12),"")</f>
        <v/>
      </c>
      <c r="E23" s="11">
        <f>IFERROR(INDEX(Schedule!E:E,12),"")</f>
        <v/>
      </c>
      <c r="F23" s="11">
        <f>IFERROR(INDEX(Schedule!G:G,12)&amp;", "&amp;INDEX(Schedule!H:H,12)&amp;", "&amp;INDEX(Schedule!I:I,12),"")</f>
        <v/>
      </c>
      <c r="G23" s="11">
        <f>IFERROR(INDEX(Schedule!K:K,12),"")</f>
        <v/>
      </c>
      <c r="H23" s="11">
        <f>IFERROR(INDEX(Schedule!L:L,12),"")</f>
        <v/>
      </c>
    </row>
    <row r="24">
      <c r="A24" s="11">
        <f>IFERROR(INDEX(Schedule!A:A,13),"")</f>
        <v/>
      </c>
      <c r="B24" s="11">
        <f>IFERROR(INDEX(Schedule!B:B,13),"")</f>
        <v/>
      </c>
      <c r="C24" s="11">
        <f>IFERROR(INDEX(Schedule!C:C,13),"")</f>
        <v/>
      </c>
      <c r="D24" s="11">
        <f>IFERROR(INDEX(Schedule!D:D,13),"")</f>
        <v/>
      </c>
      <c r="E24" s="11">
        <f>IFERROR(INDEX(Schedule!E:E,13),"")</f>
        <v/>
      </c>
      <c r="F24" s="11">
        <f>IFERROR(INDEX(Schedule!G:G,13)&amp;", "&amp;INDEX(Schedule!H:H,13)&amp;", "&amp;INDEX(Schedule!I:I,13),"")</f>
        <v/>
      </c>
      <c r="G24" s="11">
        <f>IFERROR(INDEX(Schedule!K:K,13),"")</f>
        <v/>
      </c>
      <c r="H24" s="11">
        <f>IFERROR(INDEX(Schedule!L:L,13),"")</f>
        <v/>
      </c>
    </row>
    <row r="25">
      <c r="A25" s="11">
        <f>IFERROR(INDEX(Schedule!A:A,14),"")</f>
        <v/>
      </c>
      <c r="B25" s="11">
        <f>IFERROR(INDEX(Schedule!B:B,14),"")</f>
        <v/>
      </c>
      <c r="C25" s="11">
        <f>IFERROR(INDEX(Schedule!C:C,14),"")</f>
        <v/>
      </c>
      <c r="D25" s="11">
        <f>IFERROR(INDEX(Schedule!D:D,14),"")</f>
        <v/>
      </c>
      <c r="E25" s="11">
        <f>IFERROR(INDEX(Schedule!E:E,14),"")</f>
        <v/>
      </c>
      <c r="F25" s="11">
        <f>IFERROR(INDEX(Schedule!G:G,14)&amp;", "&amp;INDEX(Schedule!H:H,14)&amp;", "&amp;INDEX(Schedule!I:I,14),"")</f>
        <v/>
      </c>
      <c r="G25" s="11">
        <f>IFERROR(INDEX(Schedule!K:K,14),"")</f>
        <v/>
      </c>
      <c r="H25" s="11">
        <f>IFERROR(INDEX(Schedule!L:L,14),"")</f>
        <v/>
      </c>
    </row>
  </sheetData>
  <mergeCells count="15">
    <mergeCell ref="A10:C10"/>
    <mergeCell ref="E10:G10"/>
    <mergeCell ref="A11:C12"/>
    <mergeCell ref="E11:G12"/>
    <mergeCell ref="A5:C6"/>
    <mergeCell ref="A2:H2"/>
    <mergeCell ref="E5:G6"/>
    <mergeCell ref="A8:C9"/>
    <mergeCell ref="E8:G9"/>
    <mergeCell ref="E4:G4"/>
    <mergeCell ref="A14:H14"/>
    <mergeCell ref="A7:C7"/>
    <mergeCell ref="A1:H1"/>
    <mergeCell ref="A4:C4"/>
    <mergeCell ref="E7:G7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6" customWidth="1" min="7" max="7"/>
    <col width="24" customWidth="1" min="8" max="8"/>
    <col width="12" customWidth="1" min="9" max="9"/>
    <col width="32" customWidth="1" min="10" max="10"/>
  </cols>
  <sheetData>
    <row r="1">
      <c r="A1" s="1" t="inlineStr">
        <is>
          <t>Roster</t>
        </is>
      </c>
      <c r="I1" s="2" t="n"/>
      <c r="J1" s="2" t="n"/>
    </row>
    <row r="2">
      <c r="A2" s="3" t="inlineStr">
        <is>
          <t>Track player roles, status, ranks, contacts, and notes</t>
        </is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0" t="inlineStr">
        <is>
          <t>Player</t>
        </is>
      </c>
      <c r="B4" s="10" t="inlineStr">
        <is>
          <t>Role</t>
        </is>
      </c>
      <c r="C4" s="10" t="inlineStr">
        <is>
          <t>Platform</t>
        </is>
      </c>
      <c r="D4" s="10" t="inlineStr">
        <is>
          <t>Epic ID</t>
        </is>
      </c>
      <c r="E4" s="10" t="inlineStr">
        <is>
          <t>Rank/MMR</t>
        </is>
      </c>
      <c r="F4" s="10" t="inlineStr">
        <is>
          <t>Status</t>
        </is>
      </c>
      <c r="G4" s="10" t="inlineStr">
        <is>
          <t>Main Car</t>
        </is>
      </c>
      <c r="H4" s="10" t="inlineStr">
        <is>
          <t>Contact</t>
        </is>
      </c>
      <c r="I4" s="10" t="inlineStr">
        <is>
          <t>Time Zone</t>
        </is>
      </c>
      <c r="J4" s="10" t="inlineStr">
        <is>
          <t>Notes</t>
        </is>
      </c>
    </row>
    <row r="5">
      <c r="A5" s="12" t="inlineStr">
        <is>
          <t>Player 1</t>
        </is>
      </c>
      <c r="B5" s="12" t="inlineStr">
        <is>
          <t>Starter</t>
        </is>
      </c>
      <c r="C5" s="12" t="inlineStr">
        <is>
          <t>PC</t>
        </is>
      </c>
      <c r="D5" s="12" t="inlineStr"/>
      <c r="E5" s="12" t="inlineStr"/>
      <c r="F5" s="12" t="inlineStr">
        <is>
          <t>Active</t>
        </is>
      </c>
      <c r="G5" s="12" t="inlineStr">
        <is>
          <t>Octane</t>
        </is>
      </c>
      <c r="H5" s="12" t="inlineStr"/>
      <c r="I5" s="12" t="inlineStr">
        <is>
          <t>ET</t>
        </is>
      </c>
      <c r="J5" s="12" t="inlineStr"/>
    </row>
    <row r="6">
      <c r="A6" s="12" t="inlineStr">
        <is>
          <t>Player 2</t>
        </is>
      </c>
      <c r="B6" s="12" t="inlineStr">
        <is>
          <t>Starter</t>
        </is>
      </c>
      <c r="C6" s="12" t="inlineStr">
        <is>
          <t>Xbox</t>
        </is>
      </c>
      <c r="D6" s="12" t="inlineStr"/>
      <c r="E6" s="12" t="inlineStr"/>
      <c r="F6" s="12" t="inlineStr">
        <is>
          <t>Active</t>
        </is>
      </c>
      <c r="G6" s="12" t="inlineStr">
        <is>
          <t>Fennec</t>
        </is>
      </c>
      <c r="H6" s="12" t="inlineStr"/>
      <c r="I6" s="12" t="inlineStr">
        <is>
          <t>ET</t>
        </is>
      </c>
      <c r="J6" s="12" t="inlineStr"/>
    </row>
    <row r="7">
      <c r="A7" s="12" t="inlineStr">
        <is>
          <t>Player 3</t>
        </is>
      </c>
      <c r="B7" s="12" t="inlineStr">
        <is>
          <t>Starter</t>
        </is>
      </c>
      <c r="C7" s="12" t="inlineStr">
        <is>
          <t>PlayStation</t>
        </is>
      </c>
      <c r="D7" s="12" t="inlineStr"/>
      <c r="E7" s="12" t="inlineStr"/>
      <c r="F7" s="12" t="inlineStr">
        <is>
          <t>Active</t>
        </is>
      </c>
      <c r="G7" s="12" t="inlineStr">
        <is>
          <t>Dominus</t>
        </is>
      </c>
      <c r="H7" s="12" t="inlineStr"/>
      <c r="I7" s="12" t="inlineStr">
        <is>
          <t>ET</t>
        </is>
      </c>
      <c r="J7" s="12" t="inlineStr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</row>
  </sheetData>
  <mergeCells count="2">
    <mergeCell ref="A2:H2"/>
    <mergeCell ref="A1:H1"/>
  </mergeCells>
  <dataValidations count="2">
    <dataValidation sqref="B5:B34" showDropDown="0" showInputMessage="0" showErrorMessage="0" allowBlank="1" type="list">
      <formula1>=Lists!$A$1:$A$4</formula1>
    </dataValidation>
    <dataValidation sqref="F5:F34" showDropDown="0" showInputMessage="0" showErrorMessage="0" allowBlank="1" type="list">
      <formula1>=Lists!$B$1:$B$4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8" customWidth="1" min="10" max="10"/>
  </cols>
  <sheetData>
    <row r="1">
      <c r="A1" s="1" t="inlineStr">
        <is>
          <t>Weekly Availability</t>
        </is>
      </c>
      <c r="I1" s="2" t="n"/>
      <c r="J1" s="2" t="n"/>
    </row>
    <row r="2">
      <c r="A2" s="3" t="inlineStr">
        <is>
          <t>Use Available, Tentative, or Unavailable for each player</t>
        </is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0" t="inlineStr">
        <is>
          <t>Player</t>
        </is>
      </c>
      <c r="B4" s="10" t="inlineStr">
        <is>
          <t>Monday</t>
        </is>
      </c>
      <c r="C4" s="10" t="inlineStr">
        <is>
          <t>Tuesday</t>
        </is>
      </c>
      <c r="D4" s="10" t="inlineStr">
        <is>
          <t>Wednesday</t>
        </is>
      </c>
      <c r="E4" s="10" t="inlineStr">
        <is>
          <t>Thursday</t>
        </is>
      </c>
      <c r="F4" s="10" t="inlineStr">
        <is>
          <t>Friday</t>
        </is>
      </c>
      <c r="G4" s="10" t="inlineStr">
        <is>
          <t>Saturday</t>
        </is>
      </c>
      <c r="H4" s="10" t="inlineStr">
        <is>
          <t>Sunday</t>
        </is>
      </c>
      <c r="I4" s="10" t="inlineStr">
        <is>
          <t>Preferred Time</t>
        </is>
      </c>
      <c r="J4" s="10" t="inlineStr">
        <is>
          <t>Notes</t>
        </is>
      </c>
    </row>
    <row r="5">
      <c r="A5" s="13">
        <f>IFERROR(Roster!A5,"")</f>
        <v/>
      </c>
      <c r="B5" s="14" t="n"/>
      <c r="C5" s="14" t="n"/>
      <c r="D5" s="14" t="n"/>
      <c r="E5" s="14" t="n"/>
      <c r="F5" s="14" t="n"/>
      <c r="G5" s="14" t="n"/>
      <c r="H5" s="14" t="n"/>
      <c r="I5" s="15" t="n"/>
      <c r="J5" s="15" t="n"/>
    </row>
    <row r="6">
      <c r="A6" s="13">
        <f>IFERROR(Roster!A6,"")</f>
        <v/>
      </c>
      <c r="B6" s="14" t="n"/>
      <c r="C6" s="14" t="n"/>
      <c r="D6" s="14" t="n"/>
      <c r="E6" s="14" t="n"/>
      <c r="F6" s="14" t="n"/>
      <c r="G6" s="14" t="n"/>
      <c r="H6" s="14" t="n"/>
      <c r="I6" s="15" t="n"/>
      <c r="J6" s="15" t="n"/>
    </row>
    <row r="7">
      <c r="A7" s="13">
        <f>IFERROR(Roster!A7,"")</f>
        <v/>
      </c>
      <c r="B7" s="14" t="n"/>
      <c r="C7" s="14" t="n"/>
      <c r="D7" s="14" t="n"/>
      <c r="E7" s="14" t="n"/>
      <c r="F7" s="14" t="n"/>
      <c r="G7" s="14" t="n"/>
      <c r="H7" s="14" t="n"/>
      <c r="I7" s="15" t="n"/>
      <c r="J7" s="15" t="n"/>
    </row>
    <row r="8">
      <c r="A8" s="13">
        <f>IFERROR(Roster!A8,"")</f>
        <v/>
      </c>
      <c r="B8" s="14" t="n"/>
      <c r="C8" s="14" t="n"/>
      <c r="D8" s="14" t="n"/>
      <c r="E8" s="14" t="n"/>
      <c r="F8" s="14" t="n"/>
      <c r="G8" s="14" t="n"/>
      <c r="H8" s="14" t="n"/>
      <c r="I8" s="15" t="n"/>
      <c r="J8" s="15" t="n"/>
    </row>
    <row r="9">
      <c r="A9" s="13">
        <f>IFERROR(Roster!A9,"")</f>
        <v/>
      </c>
      <c r="B9" s="14" t="n"/>
      <c r="C9" s="14" t="n"/>
      <c r="D9" s="14" t="n"/>
      <c r="E9" s="14" t="n"/>
      <c r="F9" s="14" t="n"/>
      <c r="G9" s="14" t="n"/>
      <c r="H9" s="14" t="n"/>
      <c r="I9" s="15" t="n"/>
      <c r="J9" s="15" t="n"/>
    </row>
    <row r="10">
      <c r="A10" s="13">
        <f>IFERROR(Roster!A10,"")</f>
        <v/>
      </c>
      <c r="B10" s="14" t="n"/>
      <c r="C10" s="14" t="n"/>
      <c r="D10" s="14" t="n"/>
      <c r="E10" s="14" t="n"/>
      <c r="F10" s="14" t="n"/>
      <c r="G10" s="14" t="n"/>
      <c r="H10" s="14" t="n"/>
      <c r="I10" s="15" t="n"/>
      <c r="J10" s="15" t="n"/>
    </row>
    <row r="11">
      <c r="A11" s="13">
        <f>IFERROR(Roster!A11,"")</f>
        <v/>
      </c>
      <c r="B11" s="14" t="n"/>
      <c r="C11" s="14" t="n"/>
      <c r="D11" s="14" t="n"/>
      <c r="E11" s="14" t="n"/>
      <c r="F11" s="14" t="n"/>
      <c r="G11" s="14" t="n"/>
      <c r="H11" s="14" t="n"/>
      <c r="I11" s="15" t="n"/>
      <c r="J11" s="15" t="n"/>
    </row>
    <row r="12">
      <c r="A12" s="13">
        <f>IFERROR(Roster!A12,"")</f>
        <v/>
      </c>
      <c r="B12" s="14" t="n"/>
      <c r="C12" s="14" t="n"/>
      <c r="D12" s="14" t="n"/>
      <c r="E12" s="14" t="n"/>
      <c r="F12" s="14" t="n"/>
      <c r="G12" s="14" t="n"/>
      <c r="H12" s="14" t="n"/>
      <c r="I12" s="15" t="n"/>
      <c r="J12" s="15" t="n"/>
    </row>
    <row r="13">
      <c r="A13" s="13">
        <f>IFERROR(Roster!A13,"")</f>
        <v/>
      </c>
      <c r="B13" s="14" t="n"/>
      <c r="C13" s="14" t="n"/>
      <c r="D13" s="14" t="n"/>
      <c r="E13" s="14" t="n"/>
      <c r="F13" s="14" t="n"/>
      <c r="G13" s="14" t="n"/>
      <c r="H13" s="14" t="n"/>
      <c r="I13" s="15" t="n"/>
      <c r="J13" s="15" t="n"/>
    </row>
    <row r="14">
      <c r="A14" s="13">
        <f>IFERROR(Roster!A14,"")</f>
        <v/>
      </c>
      <c r="B14" s="14" t="n"/>
      <c r="C14" s="14" t="n"/>
      <c r="D14" s="14" t="n"/>
      <c r="E14" s="14" t="n"/>
      <c r="F14" s="14" t="n"/>
      <c r="G14" s="14" t="n"/>
      <c r="H14" s="14" t="n"/>
      <c r="I14" s="15" t="n"/>
      <c r="J14" s="15" t="n"/>
    </row>
    <row r="15">
      <c r="A15" s="13">
        <f>IFERROR(Roster!A15,"")</f>
        <v/>
      </c>
      <c r="B15" s="14" t="n"/>
      <c r="C15" s="14" t="n"/>
      <c r="D15" s="14" t="n"/>
      <c r="E15" s="14" t="n"/>
      <c r="F15" s="14" t="n"/>
      <c r="G15" s="14" t="n"/>
      <c r="H15" s="14" t="n"/>
      <c r="I15" s="15" t="n"/>
      <c r="J15" s="15" t="n"/>
    </row>
    <row r="16">
      <c r="A16" s="13">
        <f>IFERROR(Roster!A16,"")</f>
        <v/>
      </c>
      <c r="B16" s="14" t="n"/>
      <c r="C16" s="14" t="n"/>
      <c r="D16" s="14" t="n"/>
      <c r="E16" s="14" t="n"/>
      <c r="F16" s="14" t="n"/>
      <c r="G16" s="14" t="n"/>
      <c r="H16" s="14" t="n"/>
      <c r="I16" s="15" t="n"/>
      <c r="J16" s="15" t="n"/>
    </row>
    <row r="17">
      <c r="A17" s="13">
        <f>IFERROR(Roster!A17,"")</f>
        <v/>
      </c>
      <c r="B17" s="14" t="n"/>
      <c r="C17" s="14" t="n"/>
      <c r="D17" s="14" t="n"/>
      <c r="E17" s="14" t="n"/>
      <c r="F17" s="14" t="n"/>
      <c r="G17" s="14" t="n"/>
      <c r="H17" s="14" t="n"/>
      <c r="I17" s="15" t="n"/>
      <c r="J17" s="15" t="n"/>
    </row>
    <row r="18">
      <c r="A18" s="13">
        <f>IFERROR(Roster!A18,"")</f>
        <v/>
      </c>
      <c r="B18" s="14" t="n"/>
      <c r="C18" s="14" t="n"/>
      <c r="D18" s="14" t="n"/>
      <c r="E18" s="14" t="n"/>
      <c r="F18" s="14" t="n"/>
      <c r="G18" s="14" t="n"/>
      <c r="H18" s="14" t="n"/>
      <c r="I18" s="15" t="n"/>
      <c r="J18" s="15" t="n"/>
    </row>
    <row r="19">
      <c r="A19" s="13">
        <f>IFERROR(Roster!A19,"")</f>
        <v/>
      </c>
      <c r="B19" s="14" t="n"/>
      <c r="C19" s="14" t="n"/>
      <c r="D19" s="14" t="n"/>
      <c r="E19" s="14" t="n"/>
      <c r="F19" s="14" t="n"/>
      <c r="G19" s="14" t="n"/>
      <c r="H19" s="14" t="n"/>
      <c r="I19" s="15" t="n"/>
      <c r="J19" s="15" t="n"/>
    </row>
    <row r="20">
      <c r="A20" s="13">
        <f>IFERROR(Roster!A20,"")</f>
        <v/>
      </c>
      <c r="B20" s="14" t="n"/>
      <c r="C20" s="14" t="n"/>
      <c r="D20" s="14" t="n"/>
      <c r="E20" s="14" t="n"/>
      <c r="F20" s="14" t="n"/>
      <c r="G20" s="14" t="n"/>
      <c r="H20" s="14" t="n"/>
      <c r="I20" s="15" t="n"/>
      <c r="J20" s="15" t="n"/>
    </row>
    <row r="21">
      <c r="A21" s="13">
        <f>IFERROR(Roster!A21,"")</f>
        <v/>
      </c>
      <c r="B21" s="14" t="n"/>
      <c r="C21" s="14" t="n"/>
      <c r="D21" s="14" t="n"/>
      <c r="E21" s="14" t="n"/>
      <c r="F21" s="14" t="n"/>
      <c r="G21" s="14" t="n"/>
      <c r="H21" s="14" t="n"/>
      <c r="I21" s="15" t="n"/>
      <c r="J21" s="15" t="n"/>
    </row>
    <row r="22">
      <c r="A22" s="13">
        <f>IFERROR(Roster!A22,"")</f>
        <v/>
      </c>
      <c r="B22" s="14" t="n"/>
      <c r="C22" s="14" t="n"/>
      <c r="D22" s="14" t="n"/>
      <c r="E22" s="14" t="n"/>
      <c r="F22" s="14" t="n"/>
      <c r="G22" s="14" t="n"/>
      <c r="H22" s="14" t="n"/>
      <c r="I22" s="15" t="n"/>
      <c r="J22" s="15" t="n"/>
    </row>
    <row r="23">
      <c r="A23" s="13">
        <f>IFERROR(Roster!A23,"")</f>
        <v/>
      </c>
      <c r="B23" s="14" t="n"/>
      <c r="C23" s="14" t="n"/>
      <c r="D23" s="14" t="n"/>
      <c r="E23" s="14" t="n"/>
      <c r="F23" s="14" t="n"/>
      <c r="G23" s="14" t="n"/>
      <c r="H23" s="14" t="n"/>
      <c r="I23" s="15" t="n"/>
      <c r="J23" s="15" t="n"/>
    </row>
    <row r="24">
      <c r="A24" s="13">
        <f>IFERROR(Roster!A24,"")</f>
        <v/>
      </c>
      <c r="B24" s="14" t="n"/>
      <c r="C24" s="14" t="n"/>
      <c r="D24" s="14" t="n"/>
      <c r="E24" s="14" t="n"/>
      <c r="F24" s="14" t="n"/>
      <c r="G24" s="14" t="n"/>
      <c r="H24" s="14" t="n"/>
      <c r="I24" s="15" t="n"/>
      <c r="J24" s="15" t="n"/>
    </row>
    <row r="25">
      <c r="A25" s="13">
        <f>IFERROR(Roster!A25,"")</f>
        <v/>
      </c>
      <c r="B25" s="14" t="n"/>
      <c r="C25" s="14" t="n"/>
      <c r="D25" s="14" t="n"/>
      <c r="E25" s="14" t="n"/>
      <c r="F25" s="14" t="n"/>
      <c r="G25" s="14" t="n"/>
      <c r="H25" s="14" t="n"/>
      <c r="I25" s="15" t="n"/>
      <c r="J25" s="15" t="n"/>
    </row>
    <row r="26">
      <c r="A26" s="13">
        <f>IFERROR(Roster!A26,"")</f>
        <v/>
      </c>
      <c r="B26" s="14" t="n"/>
      <c r="C26" s="14" t="n"/>
      <c r="D26" s="14" t="n"/>
      <c r="E26" s="14" t="n"/>
      <c r="F26" s="14" t="n"/>
      <c r="G26" s="14" t="n"/>
      <c r="H26" s="14" t="n"/>
      <c r="I26" s="15" t="n"/>
      <c r="J26" s="15" t="n"/>
    </row>
    <row r="27">
      <c r="A27" s="13">
        <f>IFERROR(Roster!A27,"")</f>
        <v/>
      </c>
      <c r="B27" s="14" t="n"/>
      <c r="C27" s="14" t="n"/>
      <c r="D27" s="14" t="n"/>
      <c r="E27" s="14" t="n"/>
      <c r="F27" s="14" t="n"/>
      <c r="G27" s="14" t="n"/>
      <c r="H27" s="14" t="n"/>
      <c r="I27" s="15" t="n"/>
      <c r="J27" s="15" t="n"/>
    </row>
    <row r="28">
      <c r="A28" s="13">
        <f>IFERROR(Roster!A28,"")</f>
        <v/>
      </c>
      <c r="B28" s="14" t="n"/>
      <c r="C28" s="14" t="n"/>
      <c r="D28" s="14" t="n"/>
      <c r="E28" s="14" t="n"/>
      <c r="F28" s="14" t="n"/>
      <c r="G28" s="14" t="n"/>
      <c r="H28" s="14" t="n"/>
      <c r="I28" s="15" t="n"/>
      <c r="J28" s="15" t="n"/>
    </row>
    <row r="29">
      <c r="A29" s="13">
        <f>IFERROR(Roster!A29,"")</f>
        <v/>
      </c>
      <c r="B29" s="14" t="n"/>
      <c r="C29" s="14" t="n"/>
      <c r="D29" s="14" t="n"/>
      <c r="E29" s="14" t="n"/>
      <c r="F29" s="14" t="n"/>
      <c r="G29" s="14" t="n"/>
      <c r="H29" s="14" t="n"/>
      <c r="I29" s="15" t="n"/>
      <c r="J29" s="15" t="n"/>
    </row>
    <row r="30">
      <c r="A30" s="13">
        <f>IFERROR(Roster!A30,"")</f>
        <v/>
      </c>
      <c r="B30" s="14" t="n"/>
      <c r="C30" s="14" t="n"/>
      <c r="D30" s="14" t="n"/>
      <c r="E30" s="14" t="n"/>
      <c r="F30" s="14" t="n"/>
      <c r="G30" s="14" t="n"/>
      <c r="H30" s="14" t="n"/>
      <c r="I30" s="15" t="n"/>
      <c r="J30" s="15" t="n"/>
    </row>
    <row r="31">
      <c r="A31" s="13">
        <f>IFERROR(Roster!A31,"")</f>
        <v/>
      </c>
      <c r="B31" s="14" t="n"/>
      <c r="C31" s="14" t="n"/>
      <c r="D31" s="14" t="n"/>
      <c r="E31" s="14" t="n"/>
      <c r="F31" s="14" t="n"/>
      <c r="G31" s="14" t="n"/>
      <c r="H31" s="14" t="n"/>
      <c r="I31" s="15" t="n"/>
      <c r="J31" s="15" t="n"/>
    </row>
    <row r="32">
      <c r="A32" s="13">
        <f>IFERROR(Roster!A32,"")</f>
        <v/>
      </c>
      <c r="B32" s="14" t="n"/>
      <c r="C32" s="14" t="n"/>
      <c r="D32" s="14" t="n"/>
      <c r="E32" s="14" t="n"/>
      <c r="F32" s="14" t="n"/>
      <c r="G32" s="14" t="n"/>
      <c r="H32" s="14" t="n"/>
      <c r="I32" s="15" t="n"/>
      <c r="J32" s="15" t="n"/>
    </row>
    <row r="33">
      <c r="A33" s="13">
        <f>IFERROR(Roster!A33,"")</f>
        <v/>
      </c>
      <c r="B33" s="14" t="n"/>
      <c r="C33" s="14" t="n"/>
      <c r="D33" s="14" t="n"/>
      <c r="E33" s="14" t="n"/>
      <c r="F33" s="14" t="n"/>
      <c r="G33" s="14" t="n"/>
      <c r="H33" s="14" t="n"/>
      <c r="I33" s="15" t="n"/>
      <c r="J33" s="15" t="n"/>
    </row>
    <row r="34">
      <c r="A34" s="13">
        <f>IFERROR(Roster!A34,"")</f>
        <v/>
      </c>
      <c r="B34" s="14" t="n"/>
      <c r="C34" s="14" t="n"/>
      <c r="D34" s="14" t="n"/>
      <c r="E34" s="14" t="n"/>
      <c r="F34" s="14" t="n"/>
      <c r="G34" s="14" t="n"/>
      <c r="H34" s="14" t="n"/>
      <c r="I34" s="15" t="n"/>
      <c r="J34" s="15" t="n"/>
    </row>
  </sheetData>
  <mergeCells count="2">
    <mergeCell ref="A2:H2"/>
    <mergeCell ref="A1:H1"/>
  </mergeCells>
  <dataValidations count="1">
    <dataValidation sqref="B5:H34" showDropDown="0" showInputMessage="0" showErrorMessage="0" allowBlank="1" type="list">
      <formula1>=Lists!$C$1:$C$3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18" customWidth="1" min="4" max="4"/>
    <col width="13" customWidth="1" min="5" max="5"/>
    <col width="13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24" customWidth="1" min="12" max="12"/>
    <col width="32" customWidth="1" min="13" max="13"/>
  </cols>
  <sheetData>
    <row r="1">
      <c r="A1" s="1" t="inlineStr">
        <is>
          <t>Schedule</t>
        </is>
      </c>
      <c r="I1" s="2" t="n"/>
      <c r="J1" s="2" t="n"/>
      <c r="K1" s="2" t="n"/>
      <c r="L1" s="2" t="n"/>
      <c r="M1" s="2" t="n"/>
    </row>
    <row r="2">
      <c r="A2" s="3" t="inlineStr">
        <is>
          <t>League matches, practices, scrims, tournaments, and meetings</t>
        </is>
      </c>
      <c r="I2" s="2" t="n"/>
      <c r="J2" s="2" t="n"/>
      <c r="K2" s="2" t="n"/>
      <c r="L2" s="2" t="n"/>
      <c r="M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0" t="inlineStr">
        <is>
          <t>Date</t>
        </is>
      </c>
      <c r="B4" s="10" t="inlineStr">
        <is>
          <t>Type</t>
        </is>
      </c>
      <c r="C4" s="10" t="inlineStr">
        <is>
          <t>Opponent/Event</t>
        </is>
      </c>
      <c r="D4" s="10" t="inlineStr">
        <is>
          <t>League</t>
        </is>
      </c>
      <c r="E4" s="10" t="inlineStr">
        <is>
          <t>Start Time</t>
        </is>
      </c>
      <c r="F4" s="10" t="inlineStr">
        <is>
          <t>End Time</t>
        </is>
      </c>
      <c r="G4" s="10" t="inlineStr">
        <is>
          <t>Lineup 1</t>
        </is>
      </c>
      <c r="H4" s="10" t="inlineStr">
        <is>
          <t>Lineup 2</t>
        </is>
      </c>
      <c r="I4" s="10" t="inlineStr">
        <is>
          <t>Lineup 3</t>
        </is>
      </c>
      <c r="J4" s="10" t="inlineStr">
        <is>
          <t>Sub</t>
        </is>
      </c>
      <c r="K4" s="10" t="inlineStr">
        <is>
          <t>Status</t>
        </is>
      </c>
      <c r="L4" s="10" t="inlineStr">
        <is>
          <t>Link/Location</t>
        </is>
      </c>
      <c r="M4" s="10" t="inlineStr">
        <is>
          <t>Notes</t>
        </is>
      </c>
    </row>
    <row r="5">
      <c r="A5" s="16" t="n"/>
      <c r="B5" s="12" t="n"/>
      <c r="C5" s="12" t="n"/>
      <c r="D5" s="12" t="n"/>
      <c r="E5" s="17" t="n"/>
      <c r="F5" s="17" t="n"/>
      <c r="G5" s="12" t="n"/>
      <c r="H5" s="12" t="n"/>
      <c r="I5" s="12" t="n"/>
      <c r="J5" s="12" t="n"/>
      <c r="K5" s="12" t="n"/>
      <c r="L5" s="12" t="n"/>
      <c r="M5" s="12" t="n"/>
    </row>
    <row r="6">
      <c r="A6" s="16" t="n"/>
      <c r="B6" s="12" t="n"/>
      <c r="C6" s="12" t="n"/>
      <c r="D6" s="12" t="n"/>
      <c r="E6" s="17" t="n"/>
      <c r="F6" s="17" t="n"/>
      <c r="G6" s="12" t="n"/>
      <c r="H6" s="12" t="n"/>
      <c r="I6" s="12" t="n"/>
      <c r="J6" s="12" t="n"/>
      <c r="K6" s="12" t="n"/>
      <c r="L6" s="12" t="n"/>
      <c r="M6" s="12" t="n"/>
    </row>
    <row r="7">
      <c r="A7" s="16" t="n"/>
      <c r="B7" s="12" t="n"/>
      <c r="C7" s="12" t="n"/>
      <c r="D7" s="12" t="n"/>
      <c r="E7" s="17" t="n"/>
      <c r="F7" s="17" t="n"/>
      <c r="G7" s="12" t="n"/>
      <c r="H7" s="12" t="n"/>
      <c r="I7" s="12" t="n"/>
      <c r="J7" s="12" t="n"/>
      <c r="K7" s="12" t="n"/>
      <c r="L7" s="12" t="n"/>
      <c r="M7" s="12" t="n"/>
    </row>
    <row r="8">
      <c r="A8" s="16" t="n"/>
      <c r="B8" s="12" t="n"/>
      <c r="C8" s="12" t="n"/>
      <c r="D8" s="12" t="n"/>
      <c r="E8" s="17" t="n"/>
      <c r="F8" s="17" t="n"/>
      <c r="G8" s="12" t="n"/>
      <c r="H8" s="12" t="n"/>
      <c r="I8" s="12" t="n"/>
      <c r="J8" s="12" t="n"/>
      <c r="K8" s="12" t="n"/>
      <c r="L8" s="12" t="n"/>
      <c r="M8" s="12" t="n"/>
    </row>
    <row r="9">
      <c r="A9" s="16" t="n"/>
      <c r="B9" s="12" t="n"/>
      <c r="C9" s="12" t="n"/>
      <c r="D9" s="12" t="n"/>
      <c r="E9" s="17" t="n"/>
      <c r="F9" s="17" t="n"/>
      <c r="G9" s="12" t="n"/>
      <c r="H9" s="12" t="n"/>
      <c r="I9" s="12" t="n"/>
      <c r="J9" s="12" t="n"/>
      <c r="K9" s="12" t="n"/>
      <c r="L9" s="12" t="n"/>
      <c r="M9" s="12" t="n"/>
    </row>
    <row r="10">
      <c r="A10" s="16" t="n"/>
      <c r="B10" s="12" t="n"/>
      <c r="C10" s="12" t="n"/>
      <c r="D10" s="12" t="n"/>
      <c r="E10" s="17" t="n"/>
      <c r="F10" s="17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16" t="n"/>
      <c r="B11" s="12" t="n"/>
      <c r="C11" s="12" t="n"/>
      <c r="D11" s="12" t="n"/>
      <c r="E11" s="17" t="n"/>
      <c r="F11" s="17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16" t="n"/>
      <c r="B12" s="12" t="n"/>
      <c r="C12" s="12" t="n"/>
      <c r="D12" s="12" t="n"/>
      <c r="E12" s="17" t="n"/>
      <c r="F12" s="17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16" t="n"/>
      <c r="B13" s="12" t="n"/>
      <c r="C13" s="12" t="n"/>
      <c r="D13" s="12" t="n"/>
      <c r="E13" s="17" t="n"/>
      <c r="F13" s="17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6" t="n"/>
      <c r="B14" s="12" t="n"/>
      <c r="C14" s="12" t="n"/>
      <c r="D14" s="12" t="n"/>
      <c r="E14" s="17" t="n"/>
      <c r="F14" s="17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16" t="n"/>
      <c r="B15" s="12" t="n"/>
      <c r="C15" s="12" t="n"/>
      <c r="D15" s="12" t="n"/>
      <c r="E15" s="17" t="n"/>
      <c r="F15" s="17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6" t="n"/>
      <c r="B16" s="12" t="n"/>
      <c r="C16" s="12" t="n"/>
      <c r="D16" s="12" t="n"/>
      <c r="E16" s="17" t="n"/>
      <c r="F16" s="17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16" t="n"/>
      <c r="B17" s="12" t="n"/>
      <c r="C17" s="12" t="n"/>
      <c r="D17" s="12" t="n"/>
      <c r="E17" s="17" t="n"/>
      <c r="F17" s="17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16" t="n"/>
      <c r="B18" s="12" t="n"/>
      <c r="C18" s="12" t="n"/>
      <c r="D18" s="12" t="n"/>
      <c r="E18" s="17" t="n"/>
      <c r="F18" s="17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16" t="n"/>
      <c r="B19" s="12" t="n"/>
      <c r="C19" s="12" t="n"/>
      <c r="D19" s="12" t="n"/>
      <c r="E19" s="17" t="n"/>
      <c r="F19" s="17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16" t="n"/>
      <c r="B20" s="12" t="n"/>
      <c r="C20" s="12" t="n"/>
      <c r="D20" s="12" t="n"/>
      <c r="E20" s="17" t="n"/>
      <c r="F20" s="17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16" t="n"/>
      <c r="B21" s="12" t="n"/>
      <c r="C21" s="12" t="n"/>
      <c r="D21" s="12" t="n"/>
      <c r="E21" s="17" t="n"/>
      <c r="F21" s="17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16" t="n"/>
      <c r="B22" s="12" t="n"/>
      <c r="C22" s="12" t="n"/>
      <c r="D22" s="12" t="n"/>
      <c r="E22" s="17" t="n"/>
      <c r="F22" s="17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16" t="n"/>
      <c r="B23" s="12" t="n"/>
      <c r="C23" s="12" t="n"/>
      <c r="D23" s="12" t="n"/>
      <c r="E23" s="17" t="n"/>
      <c r="F23" s="17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16" t="n"/>
      <c r="B24" s="12" t="n"/>
      <c r="C24" s="12" t="n"/>
      <c r="D24" s="12" t="n"/>
      <c r="E24" s="17" t="n"/>
      <c r="F24" s="17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16" t="n"/>
      <c r="B25" s="12" t="n"/>
      <c r="C25" s="12" t="n"/>
      <c r="D25" s="12" t="n"/>
      <c r="E25" s="17" t="n"/>
      <c r="F25" s="17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16" t="n"/>
      <c r="B26" s="12" t="n"/>
      <c r="C26" s="12" t="n"/>
      <c r="D26" s="12" t="n"/>
      <c r="E26" s="17" t="n"/>
      <c r="F26" s="17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16" t="n"/>
      <c r="B27" s="12" t="n"/>
      <c r="C27" s="12" t="n"/>
      <c r="D27" s="12" t="n"/>
      <c r="E27" s="17" t="n"/>
      <c r="F27" s="17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16" t="n"/>
      <c r="B28" s="12" t="n"/>
      <c r="C28" s="12" t="n"/>
      <c r="D28" s="12" t="n"/>
      <c r="E28" s="17" t="n"/>
      <c r="F28" s="17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16" t="n"/>
      <c r="B29" s="12" t="n"/>
      <c r="C29" s="12" t="n"/>
      <c r="D29" s="12" t="n"/>
      <c r="E29" s="17" t="n"/>
      <c r="F29" s="17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16" t="n"/>
      <c r="B30" s="12" t="n"/>
      <c r="C30" s="12" t="n"/>
      <c r="D30" s="12" t="n"/>
      <c r="E30" s="17" t="n"/>
      <c r="F30" s="17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16" t="n"/>
      <c r="B31" s="12" t="n"/>
      <c r="C31" s="12" t="n"/>
      <c r="D31" s="12" t="n"/>
      <c r="E31" s="17" t="n"/>
      <c r="F31" s="17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16" t="n"/>
      <c r="B32" s="12" t="n"/>
      <c r="C32" s="12" t="n"/>
      <c r="D32" s="12" t="n"/>
      <c r="E32" s="17" t="n"/>
      <c r="F32" s="17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16" t="n"/>
      <c r="B33" s="12" t="n"/>
      <c r="C33" s="12" t="n"/>
      <c r="D33" s="12" t="n"/>
      <c r="E33" s="17" t="n"/>
      <c r="F33" s="17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16" t="n"/>
      <c r="B34" s="12" t="n"/>
      <c r="C34" s="12" t="n"/>
      <c r="D34" s="12" t="n"/>
      <c r="E34" s="17" t="n"/>
      <c r="F34" s="17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16" t="n"/>
      <c r="B35" s="12" t="n"/>
      <c r="C35" s="12" t="n"/>
      <c r="D35" s="12" t="n"/>
      <c r="E35" s="17" t="n"/>
      <c r="F35" s="17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16" t="n"/>
      <c r="B36" s="12" t="n"/>
      <c r="C36" s="12" t="n"/>
      <c r="D36" s="12" t="n"/>
      <c r="E36" s="17" t="n"/>
      <c r="F36" s="17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16" t="n"/>
      <c r="B37" s="12" t="n"/>
      <c r="C37" s="12" t="n"/>
      <c r="D37" s="12" t="n"/>
      <c r="E37" s="17" t="n"/>
      <c r="F37" s="17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16" t="n"/>
      <c r="B38" s="12" t="n"/>
      <c r="C38" s="12" t="n"/>
      <c r="D38" s="12" t="n"/>
      <c r="E38" s="17" t="n"/>
      <c r="F38" s="17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16" t="n"/>
      <c r="B39" s="12" t="n"/>
      <c r="C39" s="12" t="n"/>
      <c r="D39" s="12" t="n"/>
      <c r="E39" s="17" t="n"/>
      <c r="F39" s="17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16" t="n"/>
      <c r="B40" s="12" t="n"/>
      <c r="C40" s="12" t="n"/>
      <c r="D40" s="12" t="n"/>
      <c r="E40" s="17" t="n"/>
      <c r="F40" s="17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16" t="n"/>
      <c r="B41" s="12" t="n"/>
      <c r="C41" s="12" t="n"/>
      <c r="D41" s="12" t="n"/>
      <c r="E41" s="17" t="n"/>
      <c r="F41" s="17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16" t="n"/>
      <c r="B42" s="12" t="n"/>
      <c r="C42" s="12" t="n"/>
      <c r="D42" s="12" t="n"/>
      <c r="E42" s="17" t="n"/>
      <c r="F42" s="17" t="n"/>
      <c r="G42" s="12" t="n"/>
      <c r="H42" s="12" t="n"/>
      <c r="I42" s="12" t="n"/>
      <c r="J42" s="12" t="n"/>
      <c r="K42" s="12" t="n"/>
      <c r="L42" s="12" t="n"/>
      <c r="M42" s="12" t="n"/>
    </row>
    <row r="43">
      <c r="A43" s="16" t="n"/>
      <c r="B43" s="12" t="n"/>
      <c r="C43" s="12" t="n"/>
      <c r="D43" s="12" t="n"/>
      <c r="E43" s="17" t="n"/>
      <c r="F43" s="17" t="n"/>
      <c r="G43" s="12" t="n"/>
      <c r="H43" s="12" t="n"/>
      <c r="I43" s="12" t="n"/>
      <c r="J43" s="12" t="n"/>
      <c r="K43" s="12" t="n"/>
      <c r="L43" s="12" t="n"/>
      <c r="M43" s="12" t="n"/>
    </row>
    <row r="44">
      <c r="A44" s="16" t="n"/>
      <c r="B44" s="12" t="n"/>
      <c r="C44" s="12" t="n"/>
      <c r="D44" s="12" t="n"/>
      <c r="E44" s="17" t="n"/>
      <c r="F44" s="17" t="n"/>
      <c r="G44" s="12" t="n"/>
      <c r="H44" s="12" t="n"/>
      <c r="I44" s="12" t="n"/>
      <c r="J44" s="12" t="n"/>
      <c r="K44" s="12" t="n"/>
      <c r="L44" s="12" t="n"/>
      <c r="M44" s="12" t="n"/>
    </row>
    <row r="45">
      <c r="A45" s="16" t="n"/>
      <c r="B45" s="12" t="n"/>
      <c r="C45" s="12" t="n"/>
      <c r="D45" s="12" t="n"/>
      <c r="E45" s="17" t="n"/>
      <c r="F45" s="17" t="n"/>
      <c r="G45" s="12" t="n"/>
      <c r="H45" s="12" t="n"/>
      <c r="I45" s="12" t="n"/>
      <c r="J45" s="12" t="n"/>
      <c r="K45" s="12" t="n"/>
      <c r="L45" s="12" t="n"/>
      <c r="M45" s="12" t="n"/>
    </row>
    <row r="46">
      <c r="A46" s="16" t="n"/>
      <c r="B46" s="12" t="n"/>
      <c r="C46" s="12" t="n"/>
      <c r="D46" s="12" t="n"/>
      <c r="E46" s="17" t="n"/>
      <c r="F46" s="17" t="n"/>
      <c r="G46" s="12" t="n"/>
      <c r="H46" s="12" t="n"/>
      <c r="I46" s="12" t="n"/>
      <c r="J46" s="12" t="n"/>
      <c r="K46" s="12" t="n"/>
      <c r="L46" s="12" t="n"/>
      <c r="M46" s="12" t="n"/>
    </row>
    <row r="47">
      <c r="A47" s="16" t="n"/>
      <c r="B47" s="12" t="n"/>
      <c r="C47" s="12" t="n"/>
      <c r="D47" s="12" t="n"/>
      <c r="E47" s="17" t="n"/>
      <c r="F47" s="17" t="n"/>
      <c r="G47" s="12" t="n"/>
      <c r="H47" s="12" t="n"/>
      <c r="I47" s="12" t="n"/>
      <c r="J47" s="12" t="n"/>
      <c r="K47" s="12" t="n"/>
      <c r="L47" s="12" t="n"/>
      <c r="M47" s="12" t="n"/>
    </row>
    <row r="48">
      <c r="A48" s="16" t="n"/>
      <c r="B48" s="12" t="n"/>
      <c r="C48" s="12" t="n"/>
      <c r="D48" s="12" t="n"/>
      <c r="E48" s="17" t="n"/>
      <c r="F48" s="17" t="n"/>
      <c r="G48" s="12" t="n"/>
      <c r="H48" s="12" t="n"/>
      <c r="I48" s="12" t="n"/>
      <c r="J48" s="12" t="n"/>
      <c r="K48" s="12" t="n"/>
      <c r="L48" s="12" t="n"/>
      <c r="M48" s="12" t="n"/>
    </row>
    <row r="49">
      <c r="A49" s="16" t="n"/>
      <c r="B49" s="12" t="n"/>
      <c r="C49" s="12" t="n"/>
      <c r="D49" s="12" t="n"/>
      <c r="E49" s="17" t="n"/>
      <c r="F49" s="17" t="n"/>
      <c r="G49" s="12" t="n"/>
      <c r="H49" s="12" t="n"/>
      <c r="I49" s="12" t="n"/>
      <c r="J49" s="12" t="n"/>
      <c r="K49" s="12" t="n"/>
      <c r="L49" s="12" t="n"/>
      <c r="M49" s="12" t="n"/>
    </row>
    <row r="50">
      <c r="A50" s="16" t="n"/>
      <c r="B50" s="12" t="n"/>
      <c r="C50" s="12" t="n"/>
      <c r="D50" s="12" t="n"/>
      <c r="E50" s="17" t="n"/>
      <c r="F50" s="17" t="n"/>
      <c r="G50" s="12" t="n"/>
      <c r="H50" s="12" t="n"/>
      <c r="I50" s="12" t="n"/>
      <c r="J50" s="12" t="n"/>
      <c r="K50" s="12" t="n"/>
      <c r="L50" s="12" t="n"/>
      <c r="M50" s="12" t="n"/>
    </row>
    <row r="51">
      <c r="A51" s="16" t="n"/>
      <c r="B51" s="12" t="n"/>
      <c r="C51" s="12" t="n"/>
      <c r="D51" s="12" t="n"/>
      <c r="E51" s="17" t="n"/>
      <c r="F51" s="17" t="n"/>
      <c r="G51" s="12" t="n"/>
      <c r="H51" s="12" t="n"/>
      <c r="I51" s="12" t="n"/>
      <c r="J51" s="12" t="n"/>
      <c r="K51" s="12" t="n"/>
      <c r="L51" s="12" t="n"/>
      <c r="M51" s="12" t="n"/>
    </row>
    <row r="52">
      <c r="A52" s="16" t="n"/>
      <c r="B52" s="12" t="n"/>
      <c r="C52" s="12" t="n"/>
      <c r="D52" s="12" t="n"/>
      <c r="E52" s="17" t="n"/>
      <c r="F52" s="17" t="n"/>
      <c r="G52" s="12" t="n"/>
      <c r="H52" s="12" t="n"/>
      <c r="I52" s="12" t="n"/>
      <c r="J52" s="12" t="n"/>
      <c r="K52" s="12" t="n"/>
      <c r="L52" s="12" t="n"/>
      <c r="M52" s="12" t="n"/>
    </row>
    <row r="53">
      <c r="A53" s="16" t="n"/>
      <c r="B53" s="12" t="n"/>
      <c r="C53" s="12" t="n"/>
      <c r="D53" s="12" t="n"/>
      <c r="E53" s="17" t="n"/>
      <c r="F53" s="17" t="n"/>
      <c r="G53" s="12" t="n"/>
      <c r="H53" s="12" t="n"/>
      <c r="I53" s="12" t="n"/>
      <c r="J53" s="12" t="n"/>
      <c r="K53" s="12" t="n"/>
      <c r="L53" s="12" t="n"/>
      <c r="M53" s="12" t="n"/>
    </row>
    <row r="54">
      <c r="A54" s="16" t="n"/>
      <c r="B54" s="12" t="n"/>
      <c r="C54" s="12" t="n"/>
      <c r="D54" s="12" t="n"/>
      <c r="E54" s="17" t="n"/>
      <c r="F54" s="17" t="n"/>
      <c r="G54" s="12" t="n"/>
      <c r="H54" s="12" t="n"/>
      <c r="I54" s="12" t="n"/>
      <c r="J54" s="12" t="n"/>
      <c r="K54" s="12" t="n"/>
      <c r="L54" s="12" t="n"/>
      <c r="M54" s="12" t="n"/>
    </row>
    <row r="55">
      <c r="A55" s="16" t="n"/>
      <c r="B55" s="12" t="n"/>
      <c r="C55" s="12" t="n"/>
      <c r="D55" s="12" t="n"/>
      <c r="E55" s="17" t="n"/>
      <c r="F55" s="17" t="n"/>
      <c r="G55" s="12" t="n"/>
      <c r="H55" s="12" t="n"/>
      <c r="I55" s="12" t="n"/>
      <c r="J55" s="12" t="n"/>
      <c r="K55" s="12" t="n"/>
      <c r="L55" s="12" t="n"/>
      <c r="M55" s="12" t="n"/>
    </row>
    <row r="56">
      <c r="A56" s="16" t="n"/>
      <c r="B56" s="12" t="n"/>
      <c r="C56" s="12" t="n"/>
      <c r="D56" s="12" t="n"/>
      <c r="E56" s="17" t="n"/>
      <c r="F56" s="17" t="n"/>
      <c r="G56" s="12" t="n"/>
      <c r="H56" s="12" t="n"/>
      <c r="I56" s="12" t="n"/>
      <c r="J56" s="12" t="n"/>
      <c r="K56" s="12" t="n"/>
      <c r="L56" s="12" t="n"/>
      <c r="M56" s="12" t="n"/>
    </row>
    <row r="57">
      <c r="A57" s="16" t="n"/>
      <c r="B57" s="12" t="n"/>
      <c r="C57" s="12" t="n"/>
      <c r="D57" s="12" t="n"/>
      <c r="E57" s="17" t="n"/>
      <c r="F57" s="17" t="n"/>
      <c r="G57" s="12" t="n"/>
      <c r="H57" s="12" t="n"/>
      <c r="I57" s="12" t="n"/>
      <c r="J57" s="12" t="n"/>
      <c r="K57" s="12" t="n"/>
      <c r="L57" s="12" t="n"/>
      <c r="M57" s="12" t="n"/>
    </row>
    <row r="58">
      <c r="A58" s="16" t="n"/>
      <c r="B58" s="12" t="n"/>
      <c r="C58" s="12" t="n"/>
      <c r="D58" s="12" t="n"/>
      <c r="E58" s="17" t="n"/>
      <c r="F58" s="17" t="n"/>
      <c r="G58" s="12" t="n"/>
      <c r="H58" s="12" t="n"/>
      <c r="I58" s="12" t="n"/>
      <c r="J58" s="12" t="n"/>
      <c r="K58" s="12" t="n"/>
      <c r="L58" s="12" t="n"/>
      <c r="M58" s="12" t="n"/>
    </row>
    <row r="59">
      <c r="A59" s="16" t="n"/>
      <c r="B59" s="12" t="n"/>
      <c r="C59" s="12" t="n"/>
      <c r="D59" s="12" t="n"/>
      <c r="E59" s="17" t="n"/>
      <c r="F59" s="17" t="n"/>
      <c r="G59" s="12" t="n"/>
      <c r="H59" s="12" t="n"/>
      <c r="I59" s="12" t="n"/>
      <c r="J59" s="12" t="n"/>
      <c r="K59" s="12" t="n"/>
      <c r="L59" s="12" t="n"/>
      <c r="M59" s="12" t="n"/>
    </row>
    <row r="60">
      <c r="A60" s="16" t="n"/>
      <c r="B60" s="12" t="n"/>
      <c r="C60" s="12" t="n"/>
      <c r="D60" s="12" t="n"/>
      <c r="E60" s="17" t="n"/>
      <c r="F60" s="17" t="n"/>
      <c r="G60" s="12" t="n"/>
      <c r="H60" s="12" t="n"/>
      <c r="I60" s="12" t="n"/>
      <c r="J60" s="12" t="n"/>
      <c r="K60" s="12" t="n"/>
      <c r="L60" s="12" t="n"/>
      <c r="M60" s="12" t="n"/>
    </row>
    <row r="61">
      <c r="A61" s="16" t="n"/>
      <c r="B61" s="12" t="n"/>
      <c r="C61" s="12" t="n"/>
      <c r="D61" s="12" t="n"/>
      <c r="E61" s="17" t="n"/>
      <c r="F61" s="17" t="n"/>
      <c r="G61" s="12" t="n"/>
      <c r="H61" s="12" t="n"/>
      <c r="I61" s="12" t="n"/>
      <c r="J61" s="12" t="n"/>
      <c r="K61" s="12" t="n"/>
      <c r="L61" s="12" t="n"/>
      <c r="M61" s="12" t="n"/>
    </row>
    <row r="62">
      <c r="A62" s="16" t="n"/>
      <c r="B62" s="12" t="n"/>
      <c r="C62" s="12" t="n"/>
      <c r="D62" s="12" t="n"/>
      <c r="E62" s="17" t="n"/>
      <c r="F62" s="17" t="n"/>
      <c r="G62" s="12" t="n"/>
      <c r="H62" s="12" t="n"/>
      <c r="I62" s="12" t="n"/>
      <c r="J62" s="12" t="n"/>
      <c r="K62" s="12" t="n"/>
      <c r="L62" s="12" t="n"/>
      <c r="M62" s="12" t="n"/>
    </row>
    <row r="63">
      <c r="A63" s="16" t="n"/>
      <c r="B63" s="12" t="n"/>
      <c r="C63" s="12" t="n"/>
      <c r="D63" s="12" t="n"/>
      <c r="E63" s="17" t="n"/>
      <c r="F63" s="17" t="n"/>
      <c r="G63" s="12" t="n"/>
      <c r="H63" s="12" t="n"/>
      <c r="I63" s="12" t="n"/>
      <c r="J63" s="12" t="n"/>
      <c r="K63" s="12" t="n"/>
      <c r="L63" s="12" t="n"/>
      <c r="M63" s="12" t="n"/>
    </row>
    <row r="64">
      <c r="A64" s="16" t="n"/>
      <c r="B64" s="12" t="n"/>
      <c r="C64" s="12" t="n"/>
      <c r="D64" s="12" t="n"/>
      <c r="E64" s="17" t="n"/>
      <c r="F64" s="17" t="n"/>
      <c r="G64" s="12" t="n"/>
      <c r="H64" s="12" t="n"/>
      <c r="I64" s="12" t="n"/>
      <c r="J64" s="12" t="n"/>
      <c r="K64" s="12" t="n"/>
      <c r="L64" s="12" t="n"/>
      <c r="M64" s="12" t="n"/>
    </row>
    <row r="65">
      <c r="A65" s="16" t="n"/>
      <c r="B65" s="12" t="n"/>
      <c r="C65" s="12" t="n"/>
      <c r="D65" s="12" t="n"/>
      <c r="E65" s="17" t="n"/>
      <c r="F65" s="17" t="n"/>
      <c r="G65" s="12" t="n"/>
      <c r="H65" s="12" t="n"/>
      <c r="I65" s="12" t="n"/>
      <c r="J65" s="12" t="n"/>
      <c r="K65" s="12" t="n"/>
      <c r="L65" s="12" t="n"/>
      <c r="M65" s="12" t="n"/>
    </row>
    <row r="66">
      <c r="A66" s="16" t="n"/>
      <c r="B66" s="12" t="n"/>
      <c r="C66" s="12" t="n"/>
      <c r="D66" s="12" t="n"/>
      <c r="E66" s="17" t="n"/>
      <c r="F66" s="17" t="n"/>
      <c r="G66" s="12" t="n"/>
      <c r="H66" s="12" t="n"/>
      <c r="I66" s="12" t="n"/>
      <c r="J66" s="12" t="n"/>
      <c r="K66" s="12" t="n"/>
      <c r="L66" s="12" t="n"/>
      <c r="M66" s="12" t="n"/>
    </row>
    <row r="67">
      <c r="A67" s="16" t="n"/>
      <c r="B67" s="12" t="n"/>
      <c r="C67" s="12" t="n"/>
      <c r="D67" s="12" t="n"/>
      <c r="E67" s="17" t="n"/>
      <c r="F67" s="17" t="n"/>
      <c r="G67" s="12" t="n"/>
      <c r="H67" s="12" t="n"/>
      <c r="I67" s="12" t="n"/>
      <c r="J67" s="12" t="n"/>
      <c r="K67" s="12" t="n"/>
      <c r="L67" s="12" t="n"/>
      <c r="M67" s="12" t="n"/>
    </row>
    <row r="68">
      <c r="A68" s="16" t="n"/>
      <c r="B68" s="12" t="n"/>
      <c r="C68" s="12" t="n"/>
      <c r="D68" s="12" t="n"/>
      <c r="E68" s="17" t="n"/>
      <c r="F68" s="17" t="n"/>
      <c r="G68" s="12" t="n"/>
      <c r="H68" s="12" t="n"/>
      <c r="I68" s="12" t="n"/>
      <c r="J68" s="12" t="n"/>
      <c r="K68" s="12" t="n"/>
      <c r="L68" s="12" t="n"/>
      <c r="M68" s="12" t="n"/>
    </row>
    <row r="69">
      <c r="A69" s="16" t="n"/>
      <c r="B69" s="12" t="n"/>
      <c r="C69" s="12" t="n"/>
      <c r="D69" s="12" t="n"/>
      <c r="E69" s="17" t="n"/>
      <c r="F69" s="17" t="n"/>
      <c r="G69" s="12" t="n"/>
      <c r="H69" s="12" t="n"/>
      <c r="I69" s="12" t="n"/>
      <c r="J69" s="12" t="n"/>
      <c r="K69" s="12" t="n"/>
      <c r="L69" s="12" t="n"/>
      <c r="M69" s="12" t="n"/>
    </row>
    <row r="70">
      <c r="A70" s="16" t="n"/>
      <c r="B70" s="12" t="n"/>
      <c r="C70" s="12" t="n"/>
      <c r="D70" s="12" t="n"/>
      <c r="E70" s="17" t="n"/>
      <c r="F70" s="17" t="n"/>
      <c r="G70" s="12" t="n"/>
      <c r="H70" s="12" t="n"/>
      <c r="I70" s="12" t="n"/>
      <c r="J70" s="12" t="n"/>
      <c r="K70" s="12" t="n"/>
      <c r="L70" s="12" t="n"/>
      <c r="M70" s="12" t="n"/>
    </row>
    <row r="71">
      <c r="A71" s="16" t="n"/>
      <c r="B71" s="12" t="n"/>
      <c r="C71" s="12" t="n"/>
      <c r="D71" s="12" t="n"/>
      <c r="E71" s="17" t="n"/>
      <c r="F71" s="17" t="n"/>
      <c r="G71" s="12" t="n"/>
      <c r="H71" s="12" t="n"/>
      <c r="I71" s="12" t="n"/>
      <c r="J71" s="12" t="n"/>
      <c r="K71" s="12" t="n"/>
      <c r="L71" s="12" t="n"/>
      <c r="M71" s="12" t="n"/>
    </row>
    <row r="72">
      <c r="A72" s="16" t="n"/>
      <c r="B72" s="12" t="n"/>
      <c r="C72" s="12" t="n"/>
      <c r="D72" s="12" t="n"/>
      <c r="E72" s="17" t="n"/>
      <c r="F72" s="17" t="n"/>
      <c r="G72" s="12" t="n"/>
      <c r="H72" s="12" t="n"/>
      <c r="I72" s="12" t="n"/>
      <c r="J72" s="12" t="n"/>
      <c r="K72" s="12" t="n"/>
      <c r="L72" s="12" t="n"/>
      <c r="M72" s="12" t="n"/>
    </row>
    <row r="73">
      <c r="A73" s="16" t="n"/>
      <c r="B73" s="12" t="n"/>
      <c r="C73" s="12" t="n"/>
      <c r="D73" s="12" t="n"/>
      <c r="E73" s="17" t="n"/>
      <c r="F73" s="17" t="n"/>
      <c r="G73" s="12" t="n"/>
      <c r="H73" s="12" t="n"/>
      <c r="I73" s="12" t="n"/>
      <c r="J73" s="12" t="n"/>
      <c r="K73" s="12" t="n"/>
      <c r="L73" s="12" t="n"/>
      <c r="M73" s="12" t="n"/>
    </row>
    <row r="74">
      <c r="A74" s="16" t="n"/>
      <c r="B74" s="12" t="n"/>
      <c r="C74" s="12" t="n"/>
      <c r="D74" s="12" t="n"/>
      <c r="E74" s="17" t="n"/>
      <c r="F74" s="17" t="n"/>
      <c r="G74" s="12" t="n"/>
      <c r="H74" s="12" t="n"/>
      <c r="I74" s="12" t="n"/>
      <c r="J74" s="12" t="n"/>
      <c r="K74" s="12" t="n"/>
      <c r="L74" s="12" t="n"/>
      <c r="M74" s="12" t="n"/>
    </row>
    <row r="75">
      <c r="A75" s="16" t="n"/>
      <c r="B75" s="12" t="n"/>
      <c r="C75" s="12" t="n"/>
      <c r="D75" s="12" t="n"/>
      <c r="E75" s="17" t="n"/>
      <c r="F75" s="17" t="n"/>
      <c r="G75" s="12" t="n"/>
      <c r="H75" s="12" t="n"/>
      <c r="I75" s="12" t="n"/>
      <c r="J75" s="12" t="n"/>
      <c r="K75" s="12" t="n"/>
      <c r="L75" s="12" t="n"/>
      <c r="M75" s="12" t="n"/>
    </row>
    <row r="76">
      <c r="A76" s="16" t="n"/>
      <c r="B76" s="12" t="n"/>
      <c r="C76" s="12" t="n"/>
      <c r="D76" s="12" t="n"/>
      <c r="E76" s="17" t="n"/>
      <c r="F76" s="17" t="n"/>
      <c r="G76" s="12" t="n"/>
      <c r="H76" s="12" t="n"/>
      <c r="I76" s="12" t="n"/>
      <c r="J76" s="12" t="n"/>
      <c r="K76" s="12" t="n"/>
      <c r="L76" s="12" t="n"/>
      <c r="M76" s="12" t="n"/>
    </row>
    <row r="77">
      <c r="A77" s="16" t="n"/>
      <c r="B77" s="12" t="n"/>
      <c r="C77" s="12" t="n"/>
      <c r="D77" s="12" t="n"/>
      <c r="E77" s="17" t="n"/>
      <c r="F77" s="17" t="n"/>
      <c r="G77" s="12" t="n"/>
      <c r="H77" s="12" t="n"/>
      <c r="I77" s="12" t="n"/>
      <c r="J77" s="12" t="n"/>
      <c r="K77" s="12" t="n"/>
      <c r="L77" s="12" t="n"/>
      <c r="M77" s="12" t="n"/>
    </row>
    <row r="78">
      <c r="A78" s="16" t="n"/>
      <c r="B78" s="12" t="n"/>
      <c r="C78" s="12" t="n"/>
      <c r="D78" s="12" t="n"/>
      <c r="E78" s="17" t="n"/>
      <c r="F78" s="17" t="n"/>
      <c r="G78" s="12" t="n"/>
      <c r="H78" s="12" t="n"/>
      <c r="I78" s="12" t="n"/>
      <c r="J78" s="12" t="n"/>
      <c r="K78" s="12" t="n"/>
      <c r="L78" s="12" t="n"/>
      <c r="M78" s="12" t="n"/>
    </row>
    <row r="79">
      <c r="A79" s="16" t="n"/>
      <c r="B79" s="12" t="n"/>
      <c r="C79" s="12" t="n"/>
      <c r="D79" s="12" t="n"/>
      <c r="E79" s="17" t="n"/>
      <c r="F79" s="17" t="n"/>
      <c r="G79" s="12" t="n"/>
      <c r="H79" s="12" t="n"/>
      <c r="I79" s="12" t="n"/>
      <c r="J79" s="12" t="n"/>
      <c r="K79" s="12" t="n"/>
      <c r="L79" s="12" t="n"/>
      <c r="M79" s="12" t="n"/>
    </row>
    <row r="80">
      <c r="A80" s="16" t="n"/>
      <c r="B80" s="12" t="n"/>
      <c r="C80" s="12" t="n"/>
      <c r="D80" s="12" t="n"/>
      <c r="E80" s="17" t="n"/>
      <c r="F80" s="17" t="n"/>
      <c r="G80" s="12" t="n"/>
      <c r="H80" s="12" t="n"/>
      <c r="I80" s="12" t="n"/>
      <c r="J80" s="12" t="n"/>
      <c r="K80" s="12" t="n"/>
      <c r="L80" s="12" t="n"/>
      <c r="M80" s="12" t="n"/>
    </row>
    <row r="81">
      <c r="A81" s="16" t="n"/>
      <c r="B81" s="12" t="n"/>
      <c r="C81" s="12" t="n"/>
      <c r="D81" s="12" t="n"/>
      <c r="E81" s="17" t="n"/>
      <c r="F81" s="17" t="n"/>
      <c r="G81" s="12" t="n"/>
      <c r="H81" s="12" t="n"/>
      <c r="I81" s="12" t="n"/>
      <c r="J81" s="12" t="n"/>
      <c r="K81" s="12" t="n"/>
      <c r="L81" s="12" t="n"/>
      <c r="M81" s="12" t="n"/>
    </row>
    <row r="82">
      <c r="A82" s="16" t="n"/>
      <c r="B82" s="12" t="n"/>
      <c r="C82" s="12" t="n"/>
      <c r="D82" s="12" t="n"/>
      <c r="E82" s="17" t="n"/>
      <c r="F82" s="17" t="n"/>
      <c r="G82" s="12" t="n"/>
      <c r="H82" s="12" t="n"/>
      <c r="I82" s="12" t="n"/>
      <c r="J82" s="12" t="n"/>
      <c r="K82" s="12" t="n"/>
      <c r="L82" s="12" t="n"/>
      <c r="M82" s="12" t="n"/>
    </row>
    <row r="83">
      <c r="A83" s="16" t="n"/>
      <c r="B83" s="12" t="n"/>
      <c r="C83" s="12" t="n"/>
      <c r="D83" s="12" t="n"/>
      <c r="E83" s="17" t="n"/>
      <c r="F83" s="17" t="n"/>
      <c r="G83" s="12" t="n"/>
      <c r="H83" s="12" t="n"/>
      <c r="I83" s="12" t="n"/>
      <c r="J83" s="12" t="n"/>
      <c r="K83" s="12" t="n"/>
      <c r="L83" s="12" t="n"/>
      <c r="M83" s="12" t="n"/>
    </row>
    <row r="84">
      <c r="A84" s="16" t="n"/>
      <c r="B84" s="12" t="n"/>
      <c r="C84" s="12" t="n"/>
      <c r="D84" s="12" t="n"/>
      <c r="E84" s="17" t="n"/>
      <c r="F84" s="17" t="n"/>
      <c r="G84" s="12" t="n"/>
      <c r="H84" s="12" t="n"/>
      <c r="I84" s="12" t="n"/>
      <c r="J84" s="12" t="n"/>
      <c r="K84" s="12" t="n"/>
      <c r="L84" s="12" t="n"/>
      <c r="M84" s="12" t="n"/>
    </row>
    <row r="85">
      <c r="A85" s="16" t="n"/>
      <c r="B85" s="12" t="n"/>
      <c r="C85" s="12" t="n"/>
      <c r="D85" s="12" t="n"/>
      <c r="E85" s="17" t="n"/>
      <c r="F85" s="17" t="n"/>
      <c r="G85" s="12" t="n"/>
      <c r="H85" s="12" t="n"/>
      <c r="I85" s="12" t="n"/>
      <c r="J85" s="12" t="n"/>
      <c r="K85" s="12" t="n"/>
      <c r="L85" s="12" t="n"/>
      <c r="M85" s="12" t="n"/>
    </row>
    <row r="86">
      <c r="A86" s="16" t="n"/>
      <c r="B86" s="12" t="n"/>
      <c r="C86" s="12" t="n"/>
      <c r="D86" s="12" t="n"/>
      <c r="E86" s="17" t="n"/>
      <c r="F86" s="17" t="n"/>
      <c r="G86" s="12" t="n"/>
      <c r="H86" s="12" t="n"/>
      <c r="I86" s="12" t="n"/>
      <c r="J86" s="12" t="n"/>
      <c r="K86" s="12" t="n"/>
      <c r="L86" s="12" t="n"/>
      <c r="M86" s="12" t="n"/>
    </row>
    <row r="87">
      <c r="A87" s="16" t="n"/>
      <c r="B87" s="12" t="n"/>
      <c r="C87" s="12" t="n"/>
      <c r="D87" s="12" t="n"/>
      <c r="E87" s="17" t="n"/>
      <c r="F87" s="17" t="n"/>
      <c r="G87" s="12" t="n"/>
      <c r="H87" s="12" t="n"/>
      <c r="I87" s="12" t="n"/>
      <c r="J87" s="12" t="n"/>
      <c r="K87" s="12" t="n"/>
      <c r="L87" s="12" t="n"/>
      <c r="M87" s="12" t="n"/>
    </row>
    <row r="88">
      <c r="A88" s="16" t="n"/>
      <c r="B88" s="12" t="n"/>
      <c r="C88" s="12" t="n"/>
      <c r="D88" s="12" t="n"/>
      <c r="E88" s="17" t="n"/>
      <c r="F88" s="17" t="n"/>
      <c r="G88" s="12" t="n"/>
      <c r="H88" s="12" t="n"/>
      <c r="I88" s="12" t="n"/>
      <c r="J88" s="12" t="n"/>
      <c r="K88" s="12" t="n"/>
      <c r="L88" s="12" t="n"/>
      <c r="M88" s="12" t="n"/>
    </row>
    <row r="89">
      <c r="A89" s="16" t="n"/>
      <c r="B89" s="12" t="n"/>
      <c r="C89" s="12" t="n"/>
      <c r="D89" s="12" t="n"/>
      <c r="E89" s="17" t="n"/>
      <c r="F89" s="17" t="n"/>
      <c r="G89" s="12" t="n"/>
      <c r="H89" s="12" t="n"/>
      <c r="I89" s="12" t="n"/>
      <c r="J89" s="12" t="n"/>
      <c r="K89" s="12" t="n"/>
      <c r="L89" s="12" t="n"/>
      <c r="M89" s="12" t="n"/>
    </row>
    <row r="90">
      <c r="A90" s="16" t="n"/>
      <c r="B90" s="12" t="n"/>
      <c r="C90" s="12" t="n"/>
      <c r="D90" s="12" t="n"/>
      <c r="E90" s="17" t="n"/>
      <c r="F90" s="17" t="n"/>
      <c r="G90" s="12" t="n"/>
      <c r="H90" s="12" t="n"/>
      <c r="I90" s="12" t="n"/>
      <c r="J90" s="12" t="n"/>
      <c r="K90" s="12" t="n"/>
      <c r="L90" s="12" t="n"/>
      <c r="M90" s="12" t="n"/>
    </row>
    <row r="91">
      <c r="A91" s="16" t="n"/>
      <c r="B91" s="12" t="n"/>
      <c r="C91" s="12" t="n"/>
      <c r="D91" s="12" t="n"/>
      <c r="E91" s="17" t="n"/>
      <c r="F91" s="17" t="n"/>
      <c r="G91" s="12" t="n"/>
      <c r="H91" s="12" t="n"/>
      <c r="I91" s="12" t="n"/>
      <c r="J91" s="12" t="n"/>
      <c r="K91" s="12" t="n"/>
      <c r="L91" s="12" t="n"/>
      <c r="M91" s="12" t="n"/>
    </row>
    <row r="92">
      <c r="A92" s="16" t="n"/>
      <c r="B92" s="12" t="n"/>
      <c r="C92" s="12" t="n"/>
      <c r="D92" s="12" t="n"/>
      <c r="E92" s="17" t="n"/>
      <c r="F92" s="17" t="n"/>
      <c r="G92" s="12" t="n"/>
      <c r="H92" s="12" t="n"/>
      <c r="I92" s="12" t="n"/>
      <c r="J92" s="12" t="n"/>
      <c r="K92" s="12" t="n"/>
      <c r="L92" s="12" t="n"/>
      <c r="M92" s="12" t="n"/>
    </row>
    <row r="93">
      <c r="A93" s="16" t="n"/>
      <c r="B93" s="12" t="n"/>
      <c r="C93" s="12" t="n"/>
      <c r="D93" s="12" t="n"/>
      <c r="E93" s="17" t="n"/>
      <c r="F93" s="17" t="n"/>
      <c r="G93" s="12" t="n"/>
      <c r="H93" s="12" t="n"/>
      <c r="I93" s="12" t="n"/>
      <c r="J93" s="12" t="n"/>
      <c r="K93" s="12" t="n"/>
      <c r="L93" s="12" t="n"/>
      <c r="M93" s="12" t="n"/>
    </row>
    <row r="94">
      <c r="A94" s="16" t="n"/>
      <c r="B94" s="12" t="n"/>
      <c r="C94" s="12" t="n"/>
      <c r="D94" s="12" t="n"/>
      <c r="E94" s="17" t="n"/>
      <c r="F94" s="17" t="n"/>
      <c r="G94" s="12" t="n"/>
      <c r="H94" s="12" t="n"/>
      <c r="I94" s="12" t="n"/>
      <c r="J94" s="12" t="n"/>
      <c r="K94" s="12" t="n"/>
      <c r="L94" s="12" t="n"/>
      <c r="M94" s="12" t="n"/>
    </row>
    <row r="95">
      <c r="A95" s="16" t="n"/>
      <c r="B95" s="12" t="n"/>
      <c r="C95" s="12" t="n"/>
      <c r="D95" s="12" t="n"/>
      <c r="E95" s="17" t="n"/>
      <c r="F95" s="17" t="n"/>
      <c r="G95" s="12" t="n"/>
      <c r="H95" s="12" t="n"/>
      <c r="I95" s="12" t="n"/>
      <c r="J95" s="12" t="n"/>
      <c r="K95" s="12" t="n"/>
      <c r="L95" s="12" t="n"/>
      <c r="M95" s="12" t="n"/>
    </row>
    <row r="96">
      <c r="A96" s="16" t="n"/>
      <c r="B96" s="12" t="n"/>
      <c r="C96" s="12" t="n"/>
      <c r="D96" s="12" t="n"/>
      <c r="E96" s="17" t="n"/>
      <c r="F96" s="17" t="n"/>
      <c r="G96" s="12" t="n"/>
      <c r="H96" s="12" t="n"/>
      <c r="I96" s="12" t="n"/>
      <c r="J96" s="12" t="n"/>
      <c r="K96" s="12" t="n"/>
      <c r="L96" s="12" t="n"/>
      <c r="M96" s="12" t="n"/>
    </row>
    <row r="97">
      <c r="A97" s="16" t="n"/>
      <c r="B97" s="12" t="n"/>
      <c r="C97" s="12" t="n"/>
      <c r="D97" s="12" t="n"/>
      <c r="E97" s="17" t="n"/>
      <c r="F97" s="17" t="n"/>
      <c r="G97" s="12" t="n"/>
      <c r="H97" s="12" t="n"/>
      <c r="I97" s="12" t="n"/>
      <c r="J97" s="12" t="n"/>
      <c r="K97" s="12" t="n"/>
      <c r="L97" s="12" t="n"/>
      <c r="M97" s="12" t="n"/>
    </row>
    <row r="98">
      <c r="A98" s="16" t="n"/>
      <c r="B98" s="12" t="n"/>
      <c r="C98" s="12" t="n"/>
      <c r="D98" s="12" t="n"/>
      <c r="E98" s="17" t="n"/>
      <c r="F98" s="17" t="n"/>
      <c r="G98" s="12" t="n"/>
      <c r="H98" s="12" t="n"/>
      <c r="I98" s="12" t="n"/>
      <c r="J98" s="12" t="n"/>
      <c r="K98" s="12" t="n"/>
      <c r="L98" s="12" t="n"/>
      <c r="M98" s="12" t="n"/>
    </row>
    <row r="99">
      <c r="A99" s="16" t="n"/>
      <c r="B99" s="12" t="n"/>
      <c r="C99" s="12" t="n"/>
      <c r="D99" s="12" t="n"/>
      <c r="E99" s="17" t="n"/>
      <c r="F99" s="17" t="n"/>
      <c r="G99" s="12" t="n"/>
      <c r="H99" s="12" t="n"/>
      <c r="I99" s="12" t="n"/>
      <c r="J99" s="12" t="n"/>
      <c r="K99" s="12" t="n"/>
      <c r="L99" s="12" t="n"/>
      <c r="M99" s="12" t="n"/>
    </row>
    <row r="100">
      <c r="A100" s="16" t="n"/>
      <c r="B100" s="12" t="n"/>
      <c r="C100" s="12" t="n"/>
      <c r="D100" s="12" t="n"/>
      <c r="E100" s="17" t="n"/>
      <c r="F100" s="17" t="n"/>
      <c r="G100" s="12" t="n"/>
      <c r="H100" s="12" t="n"/>
      <c r="I100" s="12" t="n"/>
      <c r="J100" s="12" t="n"/>
      <c r="K100" s="12" t="n"/>
      <c r="L100" s="12" t="n"/>
      <c r="M100" s="12" t="n"/>
    </row>
    <row r="101">
      <c r="A101" s="16" t="n"/>
      <c r="B101" s="12" t="n"/>
      <c r="C101" s="12" t="n"/>
      <c r="D101" s="12" t="n"/>
      <c r="E101" s="17" t="n"/>
      <c r="F101" s="17" t="n"/>
      <c r="G101" s="12" t="n"/>
      <c r="H101" s="12" t="n"/>
      <c r="I101" s="12" t="n"/>
      <c r="J101" s="12" t="n"/>
      <c r="K101" s="12" t="n"/>
      <c r="L101" s="12" t="n"/>
      <c r="M101" s="12" t="n"/>
    </row>
    <row r="102">
      <c r="A102" s="16" t="n"/>
      <c r="B102" s="12" t="n"/>
      <c r="C102" s="12" t="n"/>
      <c r="D102" s="12" t="n"/>
      <c r="E102" s="17" t="n"/>
      <c r="F102" s="17" t="n"/>
      <c r="G102" s="12" t="n"/>
      <c r="H102" s="12" t="n"/>
      <c r="I102" s="12" t="n"/>
      <c r="J102" s="12" t="n"/>
      <c r="K102" s="12" t="n"/>
      <c r="L102" s="12" t="n"/>
      <c r="M102" s="12" t="n"/>
    </row>
    <row r="103">
      <c r="A103" s="16" t="n"/>
      <c r="B103" s="12" t="n"/>
      <c r="C103" s="12" t="n"/>
      <c r="D103" s="12" t="n"/>
      <c r="E103" s="17" t="n"/>
      <c r="F103" s="17" t="n"/>
      <c r="G103" s="12" t="n"/>
      <c r="H103" s="12" t="n"/>
      <c r="I103" s="12" t="n"/>
      <c r="J103" s="12" t="n"/>
      <c r="K103" s="12" t="n"/>
      <c r="L103" s="12" t="n"/>
      <c r="M103" s="12" t="n"/>
    </row>
    <row r="104">
      <c r="A104" s="16" t="n"/>
      <c r="B104" s="12" t="n"/>
      <c r="C104" s="12" t="n"/>
      <c r="D104" s="12" t="n"/>
      <c r="E104" s="17" t="n"/>
      <c r="F104" s="17" t="n"/>
      <c r="G104" s="12" t="n"/>
      <c r="H104" s="12" t="n"/>
      <c r="I104" s="12" t="n"/>
      <c r="J104" s="12" t="n"/>
      <c r="K104" s="12" t="n"/>
      <c r="L104" s="12" t="n"/>
      <c r="M104" s="12" t="n"/>
    </row>
  </sheetData>
  <mergeCells count="2">
    <mergeCell ref="A2:H2"/>
    <mergeCell ref="A1:H1"/>
  </mergeCells>
  <dataValidations count="2">
    <dataValidation sqref="B5:B104" showDropDown="0" showInputMessage="0" showErrorMessage="0" allowBlank="1" type="list">
      <formula1>=Lists!$D$1:$D$6</formula1>
    </dataValidation>
    <dataValidation sqref="K5:K104" showDropDown="0" showInputMessage="0" showErrorMessage="0" allowBlank="1" type="list">
      <formula1>=Lists!$E$1:$E$4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0" customWidth="1" min="4" max="4"/>
    <col width="14" customWidth="1" min="5" max="5"/>
    <col width="15" customWidth="1" min="6" max="6"/>
    <col width="17" customWidth="1" min="7" max="7"/>
    <col width="10" customWidth="1" min="8" max="8"/>
    <col width="12" customWidth="1" min="9" max="9"/>
    <col width="12" customWidth="1" min="10" max="10"/>
    <col width="14" customWidth="1" min="11" max="11"/>
    <col width="16" customWidth="1" min="12" max="12"/>
    <col width="24" customWidth="1" min="13" max="13"/>
    <col width="32" customWidth="1" min="14" max="14"/>
  </cols>
  <sheetData>
    <row r="1">
      <c r="A1" s="1" t="inlineStr">
        <is>
          <t>Match Records</t>
        </is>
      </c>
      <c r="I1" s="2" t="n"/>
      <c r="J1" s="2" t="n"/>
      <c r="K1" s="2" t="n"/>
      <c r="L1" s="2" t="n"/>
      <c r="M1" s="2" t="n"/>
      <c r="N1" s="2" t="n"/>
    </row>
    <row r="2">
      <c r="A2" s="3" t="inlineStr">
        <is>
          <t>Enter each completed series here; result and series score calculate automatically</t>
        </is>
      </c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0" t="inlineStr">
        <is>
          <t>Date</t>
        </is>
      </c>
      <c r="B4" s="10" t="inlineStr">
        <is>
          <t>League</t>
        </is>
      </c>
      <c r="C4" s="10" t="inlineStr">
        <is>
          <t>Opponent</t>
        </is>
      </c>
      <c r="D4" s="10" t="inlineStr">
        <is>
          <t>Mode</t>
        </is>
      </c>
      <c r="E4" s="10" t="inlineStr">
        <is>
          <t>Round/Week</t>
        </is>
      </c>
      <c r="F4" s="10" t="inlineStr">
        <is>
          <t>Our Games Won</t>
        </is>
      </c>
      <c r="G4" s="10" t="inlineStr">
        <is>
          <t>Opponent Games Won</t>
        </is>
      </c>
      <c r="H4" s="10" t="inlineStr">
        <is>
          <t>Result</t>
        </is>
      </c>
      <c r="I4" s="10" t="inlineStr">
        <is>
          <t>Series Score</t>
        </is>
      </c>
      <c r="J4" s="10" t="inlineStr">
        <is>
          <t>Our Goals</t>
        </is>
      </c>
      <c r="K4" s="10" t="inlineStr">
        <is>
          <t>Opponent Goals</t>
        </is>
      </c>
      <c r="L4" s="10" t="inlineStr">
        <is>
          <t>MVP</t>
        </is>
      </c>
      <c r="M4" s="10" t="inlineStr">
        <is>
          <t>Replay/VOD Link</t>
        </is>
      </c>
      <c r="N4" s="10" t="inlineStr">
        <is>
          <t>Notes</t>
        </is>
      </c>
    </row>
    <row r="5">
      <c r="A5" s="16" t="n"/>
      <c r="B5" s="12" t="n"/>
      <c r="C5" s="12" t="n"/>
      <c r="D5" s="12" t="n"/>
      <c r="E5" s="12" t="n"/>
      <c r="F5" s="12" t="n"/>
      <c r="G5" s="12" t="n"/>
      <c r="H5" s="18">
        <f>IF(OR(F5="",G5=""),"",IF(F5&gt;G5,"Win",IF(F5&lt;G5,"Loss","Tie")))</f>
        <v/>
      </c>
      <c r="I5" s="18">
        <f>IF(OR(F5="",G5=""),"",F5&amp;"-"&amp;G5)</f>
        <v/>
      </c>
      <c r="J5" s="12" t="n"/>
      <c r="K5" s="12" t="n"/>
      <c r="L5" s="12" t="n"/>
      <c r="M5" s="12" t="n"/>
      <c r="N5" s="12" t="n"/>
    </row>
    <row r="6">
      <c r="A6" s="16" t="n"/>
      <c r="B6" s="12" t="n"/>
      <c r="C6" s="12" t="n"/>
      <c r="D6" s="12" t="n"/>
      <c r="E6" s="12" t="n"/>
      <c r="F6" s="12" t="n"/>
      <c r="G6" s="12" t="n"/>
      <c r="H6" s="18">
        <f>IF(OR(F6="",G6=""),"",IF(F6&gt;G6,"Win",IF(F6&lt;G6,"Loss","Tie")))</f>
        <v/>
      </c>
      <c r="I6" s="18">
        <f>IF(OR(F6="",G6=""),"",F6&amp;"-"&amp;G6)</f>
        <v/>
      </c>
      <c r="J6" s="12" t="n"/>
      <c r="K6" s="12" t="n"/>
      <c r="L6" s="12" t="n"/>
      <c r="M6" s="12" t="n"/>
      <c r="N6" s="12" t="n"/>
    </row>
    <row r="7">
      <c r="A7" s="16" t="n"/>
      <c r="B7" s="12" t="n"/>
      <c r="C7" s="12" t="n"/>
      <c r="D7" s="12" t="n"/>
      <c r="E7" s="12" t="n"/>
      <c r="F7" s="12" t="n"/>
      <c r="G7" s="12" t="n"/>
      <c r="H7" s="18">
        <f>IF(OR(F7="",G7=""),"",IF(F7&gt;G7,"Win",IF(F7&lt;G7,"Loss","Tie")))</f>
        <v/>
      </c>
      <c r="I7" s="18">
        <f>IF(OR(F7="",G7=""),"",F7&amp;"-"&amp;G7)</f>
        <v/>
      </c>
      <c r="J7" s="12" t="n"/>
      <c r="K7" s="12" t="n"/>
      <c r="L7" s="12" t="n"/>
      <c r="M7" s="12" t="n"/>
      <c r="N7" s="12" t="n"/>
    </row>
    <row r="8">
      <c r="A8" s="16" t="n"/>
      <c r="B8" s="12" t="n"/>
      <c r="C8" s="12" t="n"/>
      <c r="D8" s="12" t="n"/>
      <c r="E8" s="12" t="n"/>
      <c r="F8" s="12" t="n"/>
      <c r="G8" s="12" t="n"/>
      <c r="H8" s="18">
        <f>IF(OR(F8="",G8=""),"",IF(F8&gt;G8,"Win",IF(F8&lt;G8,"Loss","Tie")))</f>
        <v/>
      </c>
      <c r="I8" s="18">
        <f>IF(OR(F8="",G8=""),"",F8&amp;"-"&amp;G8)</f>
        <v/>
      </c>
      <c r="J8" s="12" t="n"/>
      <c r="K8" s="12" t="n"/>
      <c r="L8" s="12" t="n"/>
      <c r="M8" s="12" t="n"/>
      <c r="N8" s="12" t="n"/>
    </row>
    <row r="9">
      <c r="A9" s="16" t="n"/>
      <c r="B9" s="12" t="n"/>
      <c r="C9" s="12" t="n"/>
      <c r="D9" s="12" t="n"/>
      <c r="E9" s="12" t="n"/>
      <c r="F9" s="12" t="n"/>
      <c r="G9" s="12" t="n"/>
      <c r="H9" s="18">
        <f>IF(OR(F9="",G9=""),"",IF(F9&gt;G9,"Win",IF(F9&lt;G9,"Loss","Tie")))</f>
        <v/>
      </c>
      <c r="I9" s="18">
        <f>IF(OR(F9="",G9=""),"",F9&amp;"-"&amp;G9)</f>
        <v/>
      </c>
      <c r="J9" s="12" t="n"/>
      <c r="K9" s="12" t="n"/>
      <c r="L9" s="12" t="n"/>
      <c r="M9" s="12" t="n"/>
      <c r="N9" s="12" t="n"/>
    </row>
    <row r="10">
      <c r="A10" s="16" t="n"/>
      <c r="B10" s="12" t="n"/>
      <c r="C10" s="12" t="n"/>
      <c r="D10" s="12" t="n"/>
      <c r="E10" s="12" t="n"/>
      <c r="F10" s="12" t="n"/>
      <c r="G10" s="12" t="n"/>
      <c r="H10" s="18">
        <f>IF(OR(F10="",G10=""),"",IF(F10&gt;G10,"Win",IF(F10&lt;G10,"Loss","Tie")))</f>
        <v/>
      </c>
      <c r="I10" s="18">
        <f>IF(OR(F10="",G10=""),"",F10&amp;"-"&amp;G10)</f>
        <v/>
      </c>
      <c r="J10" s="12" t="n"/>
      <c r="K10" s="12" t="n"/>
      <c r="L10" s="12" t="n"/>
      <c r="M10" s="12" t="n"/>
      <c r="N10" s="12" t="n"/>
    </row>
    <row r="11">
      <c r="A11" s="16" t="n"/>
      <c r="B11" s="12" t="n"/>
      <c r="C11" s="12" t="n"/>
      <c r="D11" s="12" t="n"/>
      <c r="E11" s="12" t="n"/>
      <c r="F11" s="12" t="n"/>
      <c r="G11" s="12" t="n"/>
      <c r="H11" s="18">
        <f>IF(OR(F11="",G11=""),"",IF(F11&gt;G11,"Win",IF(F11&lt;G11,"Loss","Tie")))</f>
        <v/>
      </c>
      <c r="I11" s="18">
        <f>IF(OR(F11="",G11=""),"",F11&amp;"-"&amp;G11)</f>
        <v/>
      </c>
      <c r="J11" s="12" t="n"/>
      <c r="K11" s="12" t="n"/>
      <c r="L11" s="12" t="n"/>
      <c r="M11" s="12" t="n"/>
      <c r="N11" s="12" t="n"/>
    </row>
    <row r="12">
      <c r="A12" s="16" t="n"/>
      <c r="B12" s="12" t="n"/>
      <c r="C12" s="12" t="n"/>
      <c r="D12" s="12" t="n"/>
      <c r="E12" s="12" t="n"/>
      <c r="F12" s="12" t="n"/>
      <c r="G12" s="12" t="n"/>
      <c r="H12" s="18">
        <f>IF(OR(F12="",G12=""),"",IF(F12&gt;G12,"Win",IF(F12&lt;G12,"Loss","Tie")))</f>
        <v/>
      </c>
      <c r="I12" s="18">
        <f>IF(OR(F12="",G12=""),"",F12&amp;"-"&amp;G12)</f>
        <v/>
      </c>
      <c r="J12" s="12" t="n"/>
      <c r="K12" s="12" t="n"/>
      <c r="L12" s="12" t="n"/>
      <c r="M12" s="12" t="n"/>
      <c r="N12" s="12" t="n"/>
    </row>
    <row r="13">
      <c r="A13" s="16" t="n"/>
      <c r="B13" s="12" t="n"/>
      <c r="C13" s="12" t="n"/>
      <c r="D13" s="12" t="n"/>
      <c r="E13" s="12" t="n"/>
      <c r="F13" s="12" t="n"/>
      <c r="G13" s="12" t="n"/>
      <c r="H13" s="18">
        <f>IF(OR(F13="",G13=""),"",IF(F13&gt;G13,"Win",IF(F13&lt;G13,"Loss","Tie")))</f>
        <v/>
      </c>
      <c r="I13" s="18">
        <f>IF(OR(F13="",G13=""),"",F13&amp;"-"&amp;G13)</f>
        <v/>
      </c>
      <c r="J13" s="12" t="n"/>
      <c r="K13" s="12" t="n"/>
      <c r="L13" s="12" t="n"/>
      <c r="M13" s="12" t="n"/>
      <c r="N13" s="12" t="n"/>
    </row>
    <row r="14">
      <c r="A14" s="16" t="n"/>
      <c r="B14" s="12" t="n"/>
      <c r="C14" s="12" t="n"/>
      <c r="D14" s="12" t="n"/>
      <c r="E14" s="12" t="n"/>
      <c r="F14" s="12" t="n"/>
      <c r="G14" s="12" t="n"/>
      <c r="H14" s="18">
        <f>IF(OR(F14="",G14=""),"",IF(F14&gt;G14,"Win",IF(F14&lt;G14,"Loss","Tie")))</f>
        <v/>
      </c>
      <c r="I14" s="18">
        <f>IF(OR(F14="",G14=""),"",F14&amp;"-"&amp;G14)</f>
        <v/>
      </c>
      <c r="J14" s="12" t="n"/>
      <c r="K14" s="12" t="n"/>
      <c r="L14" s="12" t="n"/>
      <c r="M14" s="12" t="n"/>
      <c r="N14" s="12" t="n"/>
    </row>
    <row r="15">
      <c r="A15" s="16" t="n"/>
      <c r="B15" s="12" t="n"/>
      <c r="C15" s="12" t="n"/>
      <c r="D15" s="12" t="n"/>
      <c r="E15" s="12" t="n"/>
      <c r="F15" s="12" t="n"/>
      <c r="G15" s="12" t="n"/>
      <c r="H15" s="18">
        <f>IF(OR(F15="",G15=""),"",IF(F15&gt;G15,"Win",IF(F15&lt;G15,"Loss","Tie")))</f>
        <v/>
      </c>
      <c r="I15" s="18">
        <f>IF(OR(F15="",G15=""),"",F15&amp;"-"&amp;G15)</f>
        <v/>
      </c>
      <c r="J15" s="12" t="n"/>
      <c r="K15" s="12" t="n"/>
      <c r="L15" s="12" t="n"/>
      <c r="M15" s="12" t="n"/>
      <c r="N15" s="12" t="n"/>
    </row>
    <row r="16">
      <c r="A16" s="16" t="n"/>
      <c r="B16" s="12" t="n"/>
      <c r="C16" s="12" t="n"/>
      <c r="D16" s="12" t="n"/>
      <c r="E16" s="12" t="n"/>
      <c r="F16" s="12" t="n"/>
      <c r="G16" s="12" t="n"/>
      <c r="H16" s="18">
        <f>IF(OR(F16="",G16=""),"",IF(F16&gt;G16,"Win",IF(F16&lt;G16,"Loss","Tie")))</f>
        <v/>
      </c>
      <c r="I16" s="18">
        <f>IF(OR(F16="",G16=""),"",F16&amp;"-"&amp;G16)</f>
        <v/>
      </c>
      <c r="J16" s="12" t="n"/>
      <c r="K16" s="12" t="n"/>
      <c r="L16" s="12" t="n"/>
      <c r="M16" s="12" t="n"/>
      <c r="N16" s="12" t="n"/>
    </row>
    <row r="17">
      <c r="A17" s="16" t="n"/>
      <c r="B17" s="12" t="n"/>
      <c r="C17" s="12" t="n"/>
      <c r="D17" s="12" t="n"/>
      <c r="E17" s="12" t="n"/>
      <c r="F17" s="12" t="n"/>
      <c r="G17" s="12" t="n"/>
      <c r="H17" s="18">
        <f>IF(OR(F17="",G17=""),"",IF(F17&gt;G17,"Win",IF(F17&lt;G17,"Loss","Tie")))</f>
        <v/>
      </c>
      <c r="I17" s="18">
        <f>IF(OR(F17="",G17=""),"",F17&amp;"-"&amp;G17)</f>
        <v/>
      </c>
      <c r="J17" s="12" t="n"/>
      <c r="K17" s="12" t="n"/>
      <c r="L17" s="12" t="n"/>
      <c r="M17" s="12" t="n"/>
      <c r="N17" s="12" t="n"/>
    </row>
    <row r="18">
      <c r="A18" s="16" t="n"/>
      <c r="B18" s="12" t="n"/>
      <c r="C18" s="12" t="n"/>
      <c r="D18" s="12" t="n"/>
      <c r="E18" s="12" t="n"/>
      <c r="F18" s="12" t="n"/>
      <c r="G18" s="12" t="n"/>
      <c r="H18" s="18">
        <f>IF(OR(F18="",G18=""),"",IF(F18&gt;G18,"Win",IF(F18&lt;G18,"Loss","Tie")))</f>
        <v/>
      </c>
      <c r="I18" s="18">
        <f>IF(OR(F18="",G18=""),"",F18&amp;"-"&amp;G18)</f>
        <v/>
      </c>
      <c r="J18" s="12" t="n"/>
      <c r="K18" s="12" t="n"/>
      <c r="L18" s="12" t="n"/>
      <c r="M18" s="12" t="n"/>
      <c r="N18" s="12" t="n"/>
    </row>
    <row r="19">
      <c r="A19" s="16" t="n"/>
      <c r="B19" s="12" t="n"/>
      <c r="C19" s="12" t="n"/>
      <c r="D19" s="12" t="n"/>
      <c r="E19" s="12" t="n"/>
      <c r="F19" s="12" t="n"/>
      <c r="G19" s="12" t="n"/>
      <c r="H19" s="18">
        <f>IF(OR(F19="",G19=""),"",IF(F19&gt;G19,"Win",IF(F19&lt;G19,"Loss","Tie")))</f>
        <v/>
      </c>
      <c r="I19" s="18">
        <f>IF(OR(F19="",G19=""),"",F19&amp;"-"&amp;G19)</f>
        <v/>
      </c>
      <c r="J19" s="12" t="n"/>
      <c r="K19" s="12" t="n"/>
      <c r="L19" s="12" t="n"/>
      <c r="M19" s="12" t="n"/>
      <c r="N19" s="12" t="n"/>
    </row>
    <row r="20">
      <c r="A20" s="16" t="n"/>
      <c r="B20" s="12" t="n"/>
      <c r="C20" s="12" t="n"/>
      <c r="D20" s="12" t="n"/>
      <c r="E20" s="12" t="n"/>
      <c r="F20" s="12" t="n"/>
      <c r="G20" s="12" t="n"/>
      <c r="H20" s="18">
        <f>IF(OR(F20="",G20=""),"",IF(F20&gt;G20,"Win",IF(F20&lt;G20,"Loss","Tie")))</f>
        <v/>
      </c>
      <c r="I20" s="18">
        <f>IF(OR(F20="",G20=""),"",F20&amp;"-"&amp;G20)</f>
        <v/>
      </c>
      <c r="J20" s="12" t="n"/>
      <c r="K20" s="12" t="n"/>
      <c r="L20" s="12" t="n"/>
      <c r="M20" s="12" t="n"/>
      <c r="N20" s="12" t="n"/>
    </row>
    <row r="21">
      <c r="A21" s="16" t="n"/>
      <c r="B21" s="12" t="n"/>
      <c r="C21" s="12" t="n"/>
      <c r="D21" s="12" t="n"/>
      <c r="E21" s="12" t="n"/>
      <c r="F21" s="12" t="n"/>
      <c r="G21" s="12" t="n"/>
      <c r="H21" s="18">
        <f>IF(OR(F21="",G21=""),"",IF(F21&gt;G21,"Win",IF(F21&lt;G21,"Loss","Tie")))</f>
        <v/>
      </c>
      <c r="I21" s="18">
        <f>IF(OR(F21="",G21=""),"",F21&amp;"-"&amp;G21)</f>
        <v/>
      </c>
      <c r="J21" s="12" t="n"/>
      <c r="K21" s="12" t="n"/>
      <c r="L21" s="12" t="n"/>
      <c r="M21" s="12" t="n"/>
      <c r="N21" s="12" t="n"/>
    </row>
    <row r="22">
      <c r="A22" s="16" t="n"/>
      <c r="B22" s="12" t="n"/>
      <c r="C22" s="12" t="n"/>
      <c r="D22" s="12" t="n"/>
      <c r="E22" s="12" t="n"/>
      <c r="F22" s="12" t="n"/>
      <c r="G22" s="12" t="n"/>
      <c r="H22" s="18">
        <f>IF(OR(F22="",G22=""),"",IF(F22&gt;G22,"Win",IF(F22&lt;G22,"Loss","Tie")))</f>
        <v/>
      </c>
      <c r="I22" s="18">
        <f>IF(OR(F22="",G22=""),"",F22&amp;"-"&amp;G22)</f>
        <v/>
      </c>
      <c r="J22" s="12" t="n"/>
      <c r="K22" s="12" t="n"/>
      <c r="L22" s="12" t="n"/>
      <c r="M22" s="12" t="n"/>
      <c r="N22" s="12" t="n"/>
    </row>
    <row r="23">
      <c r="A23" s="16" t="n"/>
      <c r="B23" s="12" t="n"/>
      <c r="C23" s="12" t="n"/>
      <c r="D23" s="12" t="n"/>
      <c r="E23" s="12" t="n"/>
      <c r="F23" s="12" t="n"/>
      <c r="G23" s="12" t="n"/>
      <c r="H23" s="18">
        <f>IF(OR(F23="",G23=""),"",IF(F23&gt;G23,"Win",IF(F23&lt;G23,"Loss","Tie")))</f>
        <v/>
      </c>
      <c r="I23" s="18">
        <f>IF(OR(F23="",G23=""),"",F23&amp;"-"&amp;G23)</f>
        <v/>
      </c>
      <c r="J23" s="12" t="n"/>
      <c r="K23" s="12" t="n"/>
      <c r="L23" s="12" t="n"/>
      <c r="M23" s="12" t="n"/>
      <c r="N23" s="12" t="n"/>
    </row>
    <row r="24">
      <c r="A24" s="16" t="n"/>
      <c r="B24" s="12" t="n"/>
      <c r="C24" s="12" t="n"/>
      <c r="D24" s="12" t="n"/>
      <c r="E24" s="12" t="n"/>
      <c r="F24" s="12" t="n"/>
      <c r="G24" s="12" t="n"/>
      <c r="H24" s="18">
        <f>IF(OR(F24="",G24=""),"",IF(F24&gt;G24,"Win",IF(F24&lt;G24,"Loss","Tie")))</f>
        <v/>
      </c>
      <c r="I24" s="18">
        <f>IF(OR(F24="",G24=""),"",F24&amp;"-"&amp;G24)</f>
        <v/>
      </c>
      <c r="J24" s="12" t="n"/>
      <c r="K24" s="12" t="n"/>
      <c r="L24" s="12" t="n"/>
      <c r="M24" s="12" t="n"/>
      <c r="N24" s="12" t="n"/>
    </row>
    <row r="25">
      <c r="A25" s="16" t="n"/>
      <c r="B25" s="12" t="n"/>
      <c r="C25" s="12" t="n"/>
      <c r="D25" s="12" t="n"/>
      <c r="E25" s="12" t="n"/>
      <c r="F25" s="12" t="n"/>
      <c r="G25" s="12" t="n"/>
      <c r="H25" s="18">
        <f>IF(OR(F25="",G25=""),"",IF(F25&gt;G25,"Win",IF(F25&lt;G25,"Loss","Tie")))</f>
        <v/>
      </c>
      <c r="I25" s="18">
        <f>IF(OR(F25="",G25=""),"",F25&amp;"-"&amp;G25)</f>
        <v/>
      </c>
      <c r="J25" s="12" t="n"/>
      <c r="K25" s="12" t="n"/>
      <c r="L25" s="12" t="n"/>
      <c r="M25" s="12" t="n"/>
      <c r="N25" s="12" t="n"/>
    </row>
    <row r="26">
      <c r="A26" s="16" t="n"/>
      <c r="B26" s="12" t="n"/>
      <c r="C26" s="12" t="n"/>
      <c r="D26" s="12" t="n"/>
      <c r="E26" s="12" t="n"/>
      <c r="F26" s="12" t="n"/>
      <c r="G26" s="12" t="n"/>
      <c r="H26" s="18">
        <f>IF(OR(F26="",G26=""),"",IF(F26&gt;G26,"Win",IF(F26&lt;G26,"Loss","Tie")))</f>
        <v/>
      </c>
      <c r="I26" s="18">
        <f>IF(OR(F26="",G26=""),"",F26&amp;"-"&amp;G26)</f>
        <v/>
      </c>
      <c r="J26" s="12" t="n"/>
      <c r="K26" s="12" t="n"/>
      <c r="L26" s="12" t="n"/>
      <c r="M26" s="12" t="n"/>
      <c r="N26" s="12" t="n"/>
    </row>
    <row r="27">
      <c r="A27" s="16" t="n"/>
      <c r="B27" s="12" t="n"/>
      <c r="C27" s="12" t="n"/>
      <c r="D27" s="12" t="n"/>
      <c r="E27" s="12" t="n"/>
      <c r="F27" s="12" t="n"/>
      <c r="G27" s="12" t="n"/>
      <c r="H27" s="18">
        <f>IF(OR(F27="",G27=""),"",IF(F27&gt;G27,"Win",IF(F27&lt;G27,"Loss","Tie")))</f>
        <v/>
      </c>
      <c r="I27" s="18">
        <f>IF(OR(F27="",G27=""),"",F27&amp;"-"&amp;G27)</f>
        <v/>
      </c>
      <c r="J27" s="12" t="n"/>
      <c r="K27" s="12" t="n"/>
      <c r="L27" s="12" t="n"/>
      <c r="M27" s="12" t="n"/>
      <c r="N27" s="12" t="n"/>
    </row>
    <row r="28">
      <c r="A28" s="16" t="n"/>
      <c r="B28" s="12" t="n"/>
      <c r="C28" s="12" t="n"/>
      <c r="D28" s="12" t="n"/>
      <c r="E28" s="12" t="n"/>
      <c r="F28" s="12" t="n"/>
      <c r="G28" s="12" t="n"/>
      <c r="H28" s="18">
        <f>IF(OR(F28="",G28=""),"",IF(F28&gt;G28,"Win",IF(F28&lt;G28,"Loss","Tie")))</f>
        <v/>
      </c>
      <c r="I28" s="18">
        <f>IF(OR(F28="",G28=""),"",F28&amp;"-"&amp;G28)</f>
        <v/>
      </c>
      <c r="J28" s="12" t="n"/>
      <c r="K28" s="12" t="n"/>
      <c r="L28" s="12" t="n"/>
      <c r="M28" s="12" t="n"/>
      <c r="N28" s="12" t="n"/>
    </row>
    <row r="29">
      <c r="A29" s="16" t="n"/>
      <c r="B29" s="12" t="n"/>
      <c r="C29" s="12" t="n"/>
      <c r="D29" s="12" t="n"/>
      <c r="E29" s="12" t="n"/>
      <c r="F29" s="12" t="n"/>
      <c r="G29" s="12" t="n"/>
      <c r="H29" s="18">
        <f>IF(OR(F29="",G29=""),"",IF(F29&gt;G29,"Win",IF(F29&lt;G29,"Loss","Tie")))</f>
        <v/>
      </c>
      <c r="I29" s="18">
        <f>IF(OR(F29="",G29=""),"",F29&amp;"-"&amp;G29)</f>
        <v/>
      </c>
      <c r="J29" s="12" t="n"/>
      <c r="K29" s="12" t="n"/>
      <c r="L29" s="12" t="n"/>
      <c r="M29" s="12" t="n"/>
      <c r="N29" s="12" t="n"/>
    </row>
    <row r="30">
      <c r="A30" s="16" t="n"/>
      <c r="B30" s="12" t="n"/>
      <c r="C30" s="12" t="n"/>
      <c r="D30" s="12" t="n"/>
      <c r="E30" s="12" t="n"/>
      <c r="F30" s="12" t="n"/>
      <c r="G30" s="12" t="n"/>
      <c r="H30" s="18">
        <f>IF(OR(F30="",G30=""),"",IF(F30&gt;G30,"Win",IF(F30&lt;G30,"Loss","Tie")))</f>
        <v/>
      </c>
      <c r="I30" s="18">
        <f>IF(OR(F30="",G30=""),"",F30&amp;"-"&amp;G30)</f>
        <v/>
      </c>
      <c r="J30" s="12" t="n"/>
      <c r="K30" s="12" t="n"/>
      <c r="L30" s="12" t="n"/>
      <c r="M30" s="12" t="n"/>
      <c r="N30" s="12" t="n"/>
    </row>
    <row r="31">
      <c r="A31" s="16" t="n"/>
      <c r="B31" s="12" t="n"/>
      <c r="C31" s="12" t="n"/>
      <c r="D31" s="12" t="n"/>
      <c r="E31" s="12" t="n"/>
      <c r="F31" s="12" t="n"/>
      <c r="G31" s="12" t="n"/>
      <c r="H31" s="18">
        <f>IF(OR(F31="",G31=""),"",IF(F31&gt;G31,"Win",IF(F31&lt;G31,"Loss","Tie")))</f>
        <v/>
      </c>
      <c r="I31" s="18">
        <f>IF(OR(F31="",G31=""),"",F31&amp;"-"&amp;G31)</f>
        <v/>
      </c>
      <c r="J31" s="12" t="n"/>
      <c r="K31" s="12" t="n"/>
      <c r="L31" s="12" t="n"/>
      <c r="M31" s="12" t="n"/>
      <c r="N31" s="12" t="n"/>
    </row>
    <row r="32">
      <c r="A32" s="16" t="n"/>
      <c r="B32" s="12" t="n"/>
      <c r="C32" s="12" t="n"/>
      <c r="D32" s="12" t="n"/>
      <c r="E32" s="12" t="n"/>
      <c r="F32" s="12" t="n"/>
      <c r="G32" s="12" t="n"/>
      <c r="H32" s="18">
        <f>IF(OR(F32="",G32=""),"",IF(F32&gt;G32,"Win",IF(F32&lt;G32,"Loss","Tie")))</f>
        <v/>
      </c>
      <c r="I32" s="18">
        <f>IF(OR(F32="",G32=""),"",F32&amp;"-"&amp;G32)</f>
        <v/>
      </c>
      <c r="J32" s="12" t="n"/>
      <c r="K32" s="12" t="n"/>
      <c r="L32" s="12" t="n"/>
      <c r="M32" s="12" t="n"/>
      <c r="N32" s="12" t="n"/>
    </row>
    <row r="33">
      <c r="A33" s="16" t="n"/>
      <c r="B33" s="12" t="n"/>
      <c r="C33" s="12" t="n"/>
      <c r="D33" s="12" t="n"/>
      <c r="E33" s="12" t="n"/>
      <c r="F33" s="12" t="n"/>
      <c r="G33" s="12" t="n"/>
      <c r="H33" s="18">
        <f>IF(OR(F33="",G33=""),"",IF(F33&gt;G33,"Win",IF(F33&lt;G33,"Loss","Tie")))</f>
        <v/>
      </c>
      <c r="I33" s="18">
        <f>IF(OR(F33="",G33=""),"",F33&amp;"-"&amp;G33)</f>
        <v/>
      </c>
      <c r="J33" s="12" t="n"/>
      <c r="K33" s="12" t="n"/>
      <c r="L33" s="12" t="n"/>
      <c r="M33" s="12" t="n"/>
      <c r="N33" s="12" t="n"/>
    </row>
    <row r="34">
      <c r="A34" s="16" t="n"/>
      <c r="B34" s="12" t="n"/>
      <c r="C34" s="12" t="n"/>
      <c r="D34" s="12" t="n"/>
      <c r="E34" s="12" t="n"/>
      <c r="F34" s="12" t="n"/>
      <c r="G34" s="12" t="n"/>
      <c r="H34" s="18">
        <f>IF(OR(F34="",G34=""),"",IF(F34&gt;G34,"Win",IF(F34&lt;G34,"Loss","Tie")))</f>
        <v/>
      </c>
      <c r="I34" s="18">
        <f>IF(OR(F34="",G34=""),"",F34&amp;"-"&amp;G34)</f>
        <v/>
      </c>
      <c r="J34" s="12" t="n"/>
      <c r="K34" s="12" t="n"/>
      <c r="L34" s="12" t="n"/>
      <c r="M34" s="12" t="n"/>
      <c r="N34" s="12" t="n"/>
    </row>
    <row r="35">
      <c r="A35" s="16" t="n"/>
      <c r="B35" s="12" t="n"/>
      <c r="C35" s="12" t="n"/>
      <c r="D35" s="12" t="n"/>
      <c r="E35" s="12" t="n"/>
      <c r="F35" s="12" t="n"/>
      <c r="G35" s="12" t="n"/>
      <c r="H35" s="18">
        <f>IF(OR(F35="",G35=""),"",IF(F35&gt;G35,"Win",IF(F35&lt;G35,"Loss","Tie")))</f>
        <v/>
      </c>
      <c r="I35" s="18">
        <f>IF(OR(F35="",G35=""),"",F35&amp;"-"&amp;G35)</f>
        <v/>
      </c>
      <c r="J35" s="12" t="n"/>
      <c r="K35" s="12" t="n"/>
      <c r="L35" s="12" t="n"/>
      <c r="M35" s="12" t="n"/>
      <c r="N35" s="12" t="n"/>
    </row>
    <row r="36">
      <c r="A36" s="16" t="n"/>
      <c r="B36" s="12" t="n"/>
      <c r="C36" s="12" t="n"/>
      <c r="D36" s="12" t="n"/>
      <c r="E36" s="12" t="n"/>
      <c r="F36" s="12" t="n"/>
      <c r="G36" s="12" t="n"/>
      <c r="H36" s="18">
        <f>IF(OR(F36="",G36=""),"",IF(F36&gt;G36,"Win",IF(F36&lt;G36,"Loss","Tie")))</f>
        <v/>
      </c>
      <c r="I36" s="18">
        <f>IF(OR(F36="",G36=""),"",F36&amp;"-"&amp;G36)</f>
        <v/>
      </c>
      <c r="J36" s="12" t="n"/>
      <c r="K36" s="12" t="n"/>
      <c r="L36" s="12" t="n"/>
      <c r="M36" s="12" t="n"/>
      <c r="N36" s="12" t="n"/>
    </row>
    <row r="37">
      <c r="A37" s="16" t="n"/>
      <c r="B37" s="12" t="n"/>
      <c r="C37" s="12" t="n"/>
      <c r="D37" s="12" t="n"/>
      <c r="E37" s="12" t="n"/>
      <c r="F37" s="12" t="n"/>
      <c r="G37" s="12" t="n"/>
      <c r="H37" s="18">
        <f>IF(OR(F37="",G37=""),"",IF(F37&gt;G37,"Win",IF(F37&lt;G37,"Loss","Tie")))</f>
        <v/>
      </c>
      <c r="I37" s="18">
        <f>IF(OR(F37="",G37=""),"",F37&amp;"-"&amp;G37)</f>
        <v/>
      </c>
      <c r="J37" s="12" t="n"/>
      <c r="K37" s="12" t="n"/>
      <c r="L37" s="12" t="n"/>
      <c r="M37" s="12" t="n"/>
      <c r="N37" s="12" t="n"/>
    </row>
    <row r="38">
      <c r="A38" s="16" t="n"/>
      <c r="B38" s="12" t="n"/>
      <c r="C38" s="12" t="n"/>
      <c r="D38" s="12" t="n"/>
      <c r="E38" s="12" t="n"/>
      <c r="F38" s="12" t="n"/>
      <c r="G38" s="12" t="n"/>
      <c r="H38" s="18">
        <f>IF(OR(F38="",G38=""),"",IF(F38&gt;G38,"Win",IF(F38&lt;G38,"Loss","Tie")))</f>
        <v/>
      </c>
      <c r="I38" s="18">
        <f>IF(OR(F38="",G38=""),"",F38&amp;"-"&amp;G38)</f>
        <v/>
      </c>
      <c r="J38" s="12" t="n"/>
      <c r="K38" s="12" t="n"/>
      <c r="L38" s="12" t="n"/>
      <c r="M38" s="12" t="n"/>
      <c r="N38" s="12" t="n"/>
    </row>
    <row r="39">
      <c r="A39" s="16" t="n"/>
      <c r="B39" s="12" t="n"/>
      <c r="C39" s="12" t="n"/>
      <c r="D39" s="12" t="n"/>
      <c r="E39" s="12" t="n"/>
      <c r="F39" s="12" t="n"/>
      <c r="G39" s="12" t="n"/>
      <c r="H39" s="18">
        <f>IF(OR(F39="",G39=""),"",IF(F39&gt;G39,"Win",IF(F39&lt;G39,"Loss","Tie")))</f>
        <v/>
      </c>
      <c r="I39" s="18">
        <f>IF(OR(F39="",G39=""),"",F39&amp;"-"&amp;G39)</f>
        <v/>
      </c>
      <c r="J39" s="12" t="n"/>
      <c r="K39" s="12" t="n"/>
      <c r="L39" s="12" t="n"/>
      <c r="M39" s="12" t="n"/>
      <c r="N39" s="12" t="n"/>
    </row>
    <row r="40">
      <c r="A40" s="16" t="n"/>
      <c r="B40" s="12" t="n"/>
      <c r="C40" s="12" t="n"/>
      <c r="D40" s="12" t="n"/>
      <c r="E40" s="12" t="n"/>
      <c r="F40" s="12" t="n"/>
      <c r="G40" s="12" t="n"/>
      <c r="H40" s="18">
        <f>IF(OR(F40="",G40=""),"",IF(F40&gt;G40,"Win",IF(F40&lt;G40,"Loss","Tie")))</f>
        <v/>
      </c>
      <c r="I40" s="18">
        <f>IF(OR(F40="",G40=""),"",F40&amp;"-"&amp;G40)</f>
        <v/>
      </c>
      <c r="J40" s="12" t="n"/>
      <c r="K40" s="12" t="n"/>
      <c r="L40" s="12" t="n"/>
      <c r="M40" s="12" t="n"/>
      <c r="N40" s="12" t="n"/>
    </row>
    <row r="41">
      <c r="A41" s="16" t="n"/>
      <c r="B41" s="12" t="n"/>
      <c r="C41" s="12" t="n"/>
      <c r="D41" s="12" t="n"/>
      <c r="E41" s="12" t="n"/>
      <c r="F41" s="12" t="n"/>
      <c r="G41" s="12" t="n"/>
      <c r="H41" s="18">
        <f>IF(OR(F41="",G41=""),"",IF(F41&gt;G41,"Win",IF(F41&lt;G41,"Loss","Tie")))</f>
        <v/>
      </c>
      <c r="I41" s="18">
        <f>IF(OR(F41="",G41=""),"",F41&amp;"-"&amp;G41)</f>
        <v/>
      </c>
      <c r="J41" s="12" t="n"/>
      <c r="K41" s="12" t="n"/>
      <c r="L41" s="12" t="n"/>
      <c r="M41" s="12" t="n"/>
      <c r="N41" s="12" t="n"/>
    </row>
    <row r="42">
      <c r="A42" s="16" t="n"/>
      <c r="B42" s="12" t="n"/>
      <c r="C42" s="12" t="n"/>
      <c r="D42" s="12" t="n"/>
      <c r="E42" s="12" t="n"/>
      <c r="F42" s="12" t="n"/>
      <c r="G42" s="12" t="n"/>
      <c r="H42" s="18">
        <f>IF(OR(F42="",G42=""),"",IF(F42&gt;G42,"Win",IF(F42&lt;G42,"Loss","Tie")))</f>
        <v/>
      </c>
      <c r="I42" s="18">
        <f>IF(OR(F42="",G42=""),"",F42&amp;"-"&amp;G42)</f>
        <v/>
      </c>
      <c r="J42" s="12" t="n"/>
      <c r="K42" s="12" t="n"/>
      <c r="L42" s="12" t="n"/>
      <c r="M42" s="12" t="n"/>
      <c r="N42" s="12" t="n"/>
    </row>
    <row r="43">
      <c r="A43" s="16" t="n"/>
      <c r="B43" s="12" t="n"/>
      <c r="C43" s="12" t="n"/>
      <c r="D43" s="12" t="n"/>
      <c r="E43" s="12" t="n"/>
      <c r="F43" s="12" t="n"/>
      <c r="G43" s="12" t="n"/>
      <c r="H43" s="18">
        <f>IF(OR(F43="",G43=""),"",IF(F43&gt;G43,"Win",IF(F43&lt;G43,"Loss","Tie")))</f>
        <v/>
      </c>
      <c r="I43" s="18">
        <f>IF(OR(F43="",G43=""),"",F43&amp;"-"&amp;G43)</f>
        <v/>
      </c>
      <c r="J43" s="12" t="n"/>
      <c r="K43" s="12" t="n"/>
      <c r="L43" s="12" t="n"/>
      <c r="M43" s="12" t="n"/>
      <c r="N43" s="12" t="n"/>
    </row>
    <row r="44">
      <c r="A44" s="16" t="n"/>
      <c r="B44" s="12" t="n"/>
      <c r="C44" s="12" t="n"/>
      <c r="D44" s="12" t="n"/>
      <c r="E44" s="12" t="n"/>
      <c r="F44" s="12" t="n"/>
      <c r="G44" s="12" t="n"/>
      <c r="H44" s="18">
        <f>IF(OR(F44="",G44=""),"",IF(F44&gt;G44,"Win",IF(F44&lt;G44,"Loss","Tie")))</f>
        <v/>
      </c>
      <c r="I44" s="18">
        <f>IF(OR(F44="",G44=""),"",F44&amp;"-"&amp;G44)</f>
        <v/>
      </c>
      <c r="J44" s="12" t="n"/>
      <c r="K44" s="12" t="n"/>
      <c r="L44" s="12" t="n"/>
      <c r="M44" s="12" t="n"/>
      <c r="N44" s="12" t="n"/>
    </row>
    <row r="45">
      <c r="A45" s="16" t="n"/>
      <c r="B45" s="12" t="n"/>
      <c r="C45" s="12" t="n"/>
      <c r="D45" s="12" t="n"/>
      <c r="E45" s="12" t="n"/>
      <c r="F45" s="12" t="n"/>
      <c r="G45" s="12" t="n"/>
      <c r="H45" s="18">
        <f>IF(OR(F45="",G45=""),"",IF(F45&gt;G45,"Win",IF(F45&lt;G45,"Loss","Tie")))</f>
        <v/>
      </c>
      <c r="I45" s="18">
        <f>IF(OR(F45="",G45=""),"",F45&amp;"-"&amp;G45)</f>
        <v/>
      </c>
      <c r="J45" s="12" t="n"/>
      <c r="K45" s="12" t="n"/>
      <c r="L45" s="12" t="n"/>
      <c r="M45" s="12" t="n"/>
      <c r="N45" s="12" t="n"/>
    </row>
    <row r="46">
      <c r="A46" s="16" t="n"/>
      <c r="B46" s="12" t="n"/>
      <c r="C46" s="12" t="n"/>
      <c r="D46" s="12" t="n"/>
      <c r="E46" s="12" t="n"/>
      <c r="F46" s="12" t="n"/>
      <c r="G46" s="12" t="n"/>
      <c r="H46" s="18">
        <f>IF(OR(F46="",G46=""),"",IF(F46&gt;G46,"Win",IF(F46&lt;G46,"Loss","Tie")))</f>
        <v/>
      </c>
      <c r="I46" s="18">
        <f>IF(OR(F46="",G46=""),"",F46&amp;"-"&amp;G46)</f>
        <v/>
      </c>
      <c r="J46" s="12" t="n"/>
      <c r="K46" s="12" t="n"/>
      <c r="L46" s="12" t="n"/>
      <c r="M46" s="12" t="n"/>
      <c r="N46" s="12" t="n"/>
    </row>
    <row r="47">
      <c r="A47" s="16" t="n"/>
      <c r="B47" s="12" t="n"/>
      <c r="C47" s="12" t="n"/>
      <c r="D47" s="12" t="n"/>
      <c r="E47" s="12" t="n"/>
      <c r="F47" s="12" t="n"/>
      <c r="G47" s="12" t="n"/>
      <c r="H47" s="18">
        <f>IF(OR(F47="",G47=""),"",IF(F47&gt;G47,"Win",IF(F47&lt;G47,"Loss","Tie")))</f>
        <v/>
      </c>
      <c r="I47" s="18">
        <f>IF(OR(F47="",G47=""),"",F47&amp;"-"&amp;G47)</f>
        <v/>
      </c>
      <c r="J47" s="12" t="n"/>
      <c r="K47" s="12" t="n"/>
      <c r="L47" s="12" t="n"/>
      <c r="M47" s="12" t="n"/>
      <c r="N47" s="12" t="n"/>
    </row>
    <row r="48">
      <c r="A48" s="16" t="n"/>
      <c r="B48" s="12" t="n"/>
      <c r="C48" s="12" t="n"/>
      <c r="D48" s="12" t="n"/>
      <c r="E48" s="12" t="n"/>
      <c r="F48" s="12" t="n"/>
      <c r="G48" s="12" t="n"/>
      <c r="H48" s="18">
        <f>IF(OR(F48="",G48=""),"",IF(F48&gt;G48,"Win",IF(F48&lt;G48,"Loss","Tie")))</f>
        <v/>
      </c>
      <c r="I48" s="18">
        <f>IF(OR(F48="",G48=""),"",F48&amp;"-"&amp;G48)</f>
        <v/>
      </c>
      <c r="J48" s="12" t="n"/>
      <c r="K48" s="12" t="n"/>
      <c r="L48" s="12" t="n"/>
      <c r="M48" s="12" t="n"/>
      <c r="N48" s="12" t="n"/>
    </row>
    <row r="49">
      <c r="A49" s="16" t="n"/>
      <c r="B49" s="12" t="n"/>
      <c r="C49" s="12" t="n"/>
      <c r="D49" s="12" t="n"/>
      <c r="E49" s="12" t="n"/>
      <c r="F49" s="12" t="n"/>
      <c r="G49" s="12" t="n"/>
      <c r="H49" s="18">
        <f>IF(OR(F49="",G49=""),"",IF(F49&gt;G49,"Win",IF(F49&lt;G49,"Loss","Tie")))</f>
        <v/>
      </c>
      <c r="I49" s="18">
        <f>IF(OR(F49="",G49=""),"",F49&amp;"-"&amp;G49)</f>
        <v/>
      </c>
      <c r="J49" s="12" t="n"/>
      <c r="K49" s="12" t="n"/>
      <c r="L49" s="12" t="n"/>
      <c r="M49" s="12" t="n"/>
      <c r="N49" s="12" t="n"/>
    </row>
    <row r="50">
      <c r="A50" s="16" t="n"/>
      <c r="B50" s="12" t="n"/>
      <c r="C50" s="12" t="n"/>
      <c r="D50" s="12" t="n"/>
      <c r="E50" s="12" t="n"/>
      <c r="F50" s="12" t="n"/>
      <c r="G50" s="12" t="n"/>
      <c r="H50" s="18">
        <f>IF(OR(F50="",G50=""),"",IF(F50&gt;G50,"Win",IF(F50&lt;G50,"Loss","Tie")))</f>
        <v/>
      </c>
      <c r="I50" s="18">
        <f>IF(OR(F50="",G50=""),"",F50&amp;"-"&amp;G50)</f>
        <v/>
      </c>
      <c r="J50" s="12" t="n"/>
      <c r="K50" s="12" t="n"/>
      <c r="L50" s="12" t="n"/>
      <c r="M50" s="12" t="n"/>
      <c r="N50" s="12" t="n"/>
    </row>
    <row r="51">
      <c r="A51" s="16" t="n"/>
      <c r="B51" s="12" t="n"/>
      <c r="C51" s="12" t="n"/>
      <c r="D51" s="12" t="n"/>
      <c r="E51" s="12" t="n"/>
      <c r="F51" s="12" t="n"/>
      <c r="G51" s="12" t="n"/>
      <c r="H51" s="18">
        <f>IF(OR(F51="",G51=""),"",IF(F51&gt;G51,"Win",IF(F51&lt;G51,"Loss","Tie")))</f>
        <v/>
      </c>
      <c r="I51" s="18">
        <f>IF(OR(F51="",G51=""),"",F51&amp;"-"&amp;G51)</f>
        <v/>
      </c>
      <c r="J51" s="12" t="n"/>
      <c r="K51" s="12" t="n"/>
      <c r="L51" s="12" t="n"/>
      <c r="M51" s="12" t="n"/>
      <c r="N51" s="12" t="n"/>
    </row>
    <row r="52">
      <c r="A52" s="16" t="n"/>
      <c r="B52" s="12" t="n"/>
      <c r="C52" s="12" t="n"/>
      <c r="D52" s="12" t="n"/>
      <c r="E52" s="12" t="n"/>
      <c r="F52" s="12" t="n"/>
      <c r="G52" s="12" t="n"/>
      <c r="H52" s="18">
        <f>IF(OR(F52="",G52=""),"",IF(F52&gt;G52,"Win",IF(F52&lt;G52,"Loss","Tie")))</f>
        <v/>
      </c>
      <c r="I52" s="18">
        <f>IF(OR(F52="",G52=""),"",F52&amp;"-"&amp;G52)</f>
        <v/>
      </c>
      <c r="J52" s="12" t="n"/>
      <c r="K52" s="12" t="n"/>
      <c r="L52" s="12" t="n"/>
      <c r="M52" s="12" t="n"/>
      <c r="N52" s="12" t="n"/>
    </row>
    <row r="53">
      <c r="A53" s="16" t="n"/>
      <c r="B53" s="12" t="n"/>
      <c r="C53" s="12" t="n"/>
      <c r="D53" s="12" t="n"/>
      <c r="E53" s="12" t="n"/>
      <c r="F53" s="12" t="n"/>
      <c r="G53" s="12" t="n"/>
      <c r="H53" s="18">
        <f>IF(OR(F53="",G53=""),"",IF(F53&gt;G53,"Win",IF(F53&lt;G53,"Loss","Tie")))</f>
        <v/>
      </c>
      <c r="I53" s="18">
        <f>IF(OR(F53="",G53=""),"",F53&amp;"-"&amp;G53)</f>
        <v/>
      </c>
      <c r="J53" s="12" t="n"/>
      <c r="K53" s="12" t="n"/>
      <c r="L53" s="12" t="n"/>
      <c r="M53" s="12" t="n"/>
      <c r="N53" s="12" t="n"/>
    </row>
    <row r="54">
      <c r="A54" s="16" t="n"/>
      <c r="B54" s="12" t="n"/>
      <c r="C54" s="12" t="n"/>
      <c r="D54" s="12" t="n"/>
      <c r="E54" s="12" t="n"/>
      <c r="F54" s="12" t="n"/>
      <c r="G54" s="12" t="n"/>
      <c r="H54" s="18">
        <f>IF(OR(F54="",G54=""),"",IF(F54&gt;G54,"Win",IF(F54&lt;G54,"Loss","Tie")))</f>
        <v/>
      </c>
      <c r="I54" s="18">
        <f>IF(OR(F54="",G54=""),"",F54&amp;"-"&amp;G54)</f>
        <v/>
      </c>
      <c r="J54" s="12" t="n"/>
      <c r="K54" s="12" t="n"/>
      <c r="L54" s="12" t="n"/>
      <c r="M54" s="12" t="n"/>
      <c r="N54" s="12" t="n"/>
    </row>
    <row r="55">
      <c r="A55" s="16" t="n"/>
      <c r="B55" s="12" t="n"/>
      <c r="C55" s="12" t="n"/>
      <c r="D55" s="12" t="n"/>
      <c r="E55" s="12" t="n"/>
      <c r="F55" s="12" t="n"/>
      <c r="G55" s="12" t="n"/>
      <c r="H55" s="18">
        <f>IF(OR(F55="",G55=""),"",IF(F55&gt;G55,"Win",IF(F55&lt;G55,"Loss","Tie")))</f>
        <v/>
      </c>
      <c r="I55" s="18">
        <f>IF(OR(F55="",G55=""),"",F55&amp;"-"&amp;G55)</f>
        <v/>
      </c>
      <c r="J55" s="12" t="n"/>
      <c r="K55" s="12" t="n"/>
      <c r="L55" s="12" t="n"/>
      <c r="M55" s="12" t="n"/>
      <c r="N55" s="12" t="n"/>
    </row>
    <row r="56">
      <c r="A56" s="16" t="n"/>
      <c r="B56" s="12" t="n"/>
      <c r="C56" s="12" t="n"/>
      <c r="D56" s="12" t="n"/>
      <c r="E56" s="12" t="n"/>
      <c r="F56" s="12" t="n"/>
      <c r="G56" s="12" t="n"/>
      <c r="H56" s="18">
        <f>IF(OR(F56="",G56=""),"",IF(F56&gt;G56,"Win",IF(F56&lt;G56,"Loss","Tie")))</f>
        <v/>
      </c>
      <c r="I56" s="18">
        <f>IF(OR(F56="",G56=""),"",F56&amp;"-"&amp;G56)</f>
        <v/>
      </c>
      <c r="J56" s="12" t="n"/>
      <c r="K56" s="12" t="n"/>
      <c r="L56" s="12" t="n"/>
      <c r="M56" s="12" t="n"/>
      <c r="N56" s="12" t="n"/>
    </row>
    <row r="57">
      <c r="A57" s="16" t="n"/>
      <c r="B57" s="12" t="n"/>
      <c r="C57" s="12" t="n"/>
      <c r="D57" s="12" t="n"/>
      <c r="E57" s="12" t="n"/>
      <c r="F57" s="12" t="n"/>
      <c r="G57" s="12" t="n"/>
      <c r="H57" s="18">
        <f>IF(OR(F57="",G57=""),"",IF(F57&gt;G57,"Win",IF(F57&lt;G57,"Loss","Tie")))</f>
        <v/>
      </c>
      <c r="I57" s="18">
        <f>IF(OR(F57="",G57=""),"",F57&amp;"-"&amp;G57)</f>
        <v/>
      </c>
      <c r="J57" s="12" t="n"/>
      <c r="K57" s="12" t="n"/>
      <c r="L57" s="12" t="n"/>
      <c r="M57" s="12" t="n"/>
      <c r="N57" s="12" t="n"/>
    </row>
    <row r="58">
      <c r="A58" s="16" t="n"/>
      <c r="B58" s="12" t="n"/>
      <c r="C58" s="12" t="n"/>
      <c r="D58" s="12" t="n"/>
      <c r="E58" s="12" t="n"/>
      <c r="F58" s="12" t="n"/>
      <c r="G58" s="12" t="n"/>
      <c r="H58" s="18">
        <f>IF(OR(F58="",G58=""),"",IF(F58&gt;G58,"Win",IF(F58&lt;G58,"Loss","Tie")))</f>
        <v/>
      </c>
      <c r="I58" s="18">
        <f>IF(OR(F58="",G58=""),"",F58&amp;"-"&amp;G58)</f>
        <v/>
      </c>
      <c r="J58" s="12" t="n"/>
      <c r="K58" s="12" t="n"/>
      <c r="L58" s="12" t="n"/>
      <c r="M58" s="12" t="n"/>
      <c r="N58" s="12" t="n"/>
    </row>
    <row r="59">
      <c r="A59" s="16" t="n"/>
      <c r="B59" s="12" t="n"/>
      <c r="C59" s="12" t="n"/>
      <c r="D59" s="12" t="n"/>
      <c r="E59" s="12" t="n"/>
      <c r="F59" s="12" t="n"/>
      <c r="G59" s="12" t="n"/>
      <c r="H59" s="18">
        <f>IF(OR(F59="",G59=""),"",IF(F59&gt;G59,"Win",IF(F59&lt;G59,"Loss","Tie")))</f>
        <v/>
      </c>
      <c r="I59" s="18">
        <f>IF(OR(F59="",G59=""),"",F59&amp;"-"&amp;G59)</f>
        <v/>
      </c>
      <c r="J59" s="12" t="n"/>
      <c r="K59" s="12" t="n"/>
      <c r="L59" s="12" t="n"/>
      <c r="M59" s="12" t="n"/>
      <c r="N59" s="12" t="n"/>
    </row>
    <row r="60">
      <c r="A60" s="16" t="n"/>
      <c r="B60" s="12" t="n"/>
      <c r="C60" s="12" t="n"/>
      <c r="D60" s="12" t="n"/>
      <c r="E60" s="12" t="n"/>
      <c r="F60" s="12" t="n"/>
      <c r="G60" s="12" t="n"/>
      <c r="H60" s="18">
        <f>IF(OR(F60="",G60=""),"",IF(F60&gt;G60,"Win",IF(F60&lt;G60,"Loss","Tie")))</f>
        <v/>
      </c>
      <c r="I60" s="18">
        <f>IF(OR(F60="",G60=""),"",F60&amp;"-"&amp;G60)</f>
        <v/>
      </c>
      <c r="J60" s="12" t="n"/>
      <c r="K60" s="12" t="n"/>
      <c r="L60" s="12" t="n"/>
      <c r="M60" s="12" t="n"/>
      <c r="N60" s="12" t="n"/>
    </row>
    <row r="61">
      <c r="A61" s="16" t="n"/>
      <c r="B61" s="12" t="n"/>
      <c r="C61" s="12" t="n"/>
      <c r="D61" s="12" t="n"/>
      <c r="E61" s="12" t="n"/>
      <c r="F61" s="12" t="n"/>
      <c r="G61" s="12" t="n"/>
      <c r="H61" s="18">
        <f>IF(OR(F61="",G61=""),"",IF(F61&gt;G61,"Win",IF(F61&lt;G61,"Loss","Tie")))</f>
        <v/>
      </c>
      <c r="I61" s="18">
        <f>IF(OR(F61="",G61=""),"",F61&amp;"-"&amp;G61)</f>
        <v/>
      </c>
      <c r="J61" s="12" t="n"/>
      <c r="K61" s="12" t="n"/>
      <c r="L61" s="12" t="n"/>
      <c r="M61" s="12" t="n"/>
      <c r="N61" s="12" t="n"/>
    </row>
    <row r="62">
      <c r="A62" s="16" t="n"/>
      <c r="B62" s="12" t="n"/>
      <c r="C62" s="12" t="n"/>
      <c r="D62" s="12" t="n"/>
      <c r="E62" s="12" t="n"/>
      <c r="F62" s="12" t="n"/>
      <c r="G62" s="12" t="n"/>
      <c r="H62" s="18">
        <f>IF(OR(F62="",G62=""),"",IF(F62&gt;G62,"Win",IF(F62&lt;G62,"Loss","Tie")))</f>
        <v/>
      </c>
      <c r="I62" s="18">
        <f>IF(OR(F62="",G62=""),"",F62&amp;"-"&amp;G62)</f>
        <v/>
      </c>
      <c r="J62" s="12" t="n"/>
      <c r="K62" s="12" t="n"/>
      <c r="L62" s="12" t="n"/>
      <c r="M62" s="12" t="n"/>
      <c r="N62" s="12" t="n"/>
    </row>
    <row r="63">
      <c r="A63" s="16" t="n"/>
      <c r="B63" s="12" t="n"/>
      <c r="C63" s="12" t="n"/>
      <c r="D63" s="12" t="n"/>
      <c r="E63" s="12" t="n"/>
      <c r="F63" s="12" t="n"/>
      <c r="G63" s="12" t="n"/>
      <c r="H63" s="18">
        <f>IF(OR(F63="",G63=""),"",IF(F63&gt;G63,"Win",IF(F63&lt;G63,"Loss","Tie")))</f>
        <v/>
      </c>
      <c r="I63" s="18">
        <f>IF(OR(F63="",G63=""),"",F63&amp;"-"&amp;G63)</f>
        <v/>
      </c>
      <c r="J63" s="12" t="n"/>
      <c r="K63" s="12" t="n"/>
      <c r="L63" s="12" t="n"/>
      <c r="M63" s="12" t="n"/>
      <c r="N63" s="12" t="n"/>
    </row>
    <row r="64">
      <c r="A64" s="16" t="n"/>
      <c r="B64" s="12" t="n"/>
      <c r="C64" s="12" t="n"/>
      <c r="D64" s="12" t="n"/>
      <c r="E64" s="12" t="n"/>
      <c r="F64" s="12" t="n"/>
      <c r="G64" s="12" t="n"/>
      <c r="H64" s="18">
        <f>IF(OR(F64="",G64=""),"",IF(F64&gt;G64,"Win",IF(F64&lt;G64,"Loss","Tie")))</f>
        <v/>
      </c>
      <c r="I64" s="18">
        <f>IF(OR(F64="",G64=""),"",F64&amp;"-"&amp;G64)</f>
        <v/>
      </c>
      <c r="J64" s="12" t="n"/>
      <c r="K64" s="12" t="n"/>
      <c r="L64" s="12" t="n"/>
      <c r="M64" s="12" t="n"/>
      <c r="N64" s="12" t="n"/>
    </row>
    <row r="65">
      <c r="A65" s="16" t="n"/>
      <c r="B65" s="12" t="n"/>
      <c r="C65" s="12" t="n"/>
      <c r="D65" s="12" t="n"/>
      <c r="E65" s="12" t="n"/>
      <c r="F65" s="12" t="n"/>
      <c r="G65" s="12" t="n"/>
      <c r="H65" s="18">
        <f>IF(OR(F65="",G65=""),"",IF(F65&gt;G65,"Win",IF(F65&lt;G65,"Loss","Tie")))</f>
        <v/>
      </c>
      <c r="I65" s="18">
        <f>IF(OR(F65="",G65=""),"",F65&amp;"-"&amp;G65)</f>
        <v/>
      </c>
      <c r="J65" s="12" t="n"/>
      <c r="K65" s="12" t="n"/>
      <c r="L65" s="12" t="n"/>
      <c r="M65" s="12" t="n"/>
      <c r="N65" s="12" t="n"/>
    </row>
    <row r="66">
      <c r="A66" s="16" t="n"/>
      <c r="B66" s="12" t="n"/>
      <c r="C66" s="12" t="n"/>
      <c r="D66" s="12" t="n"/>
      <c r="E66" s="12" t="n"/>
      <c r="F66" s="12" t="n"/>
      <c r="G66" s="12" t="n"/>
      <c r="H66" s="18">
        <f>IF(OR(F66="",G66=""),"",IF(F66&gt;G66,"Win",IF(F66&lt;G66,"Loss","Tie")))</f>
        <v/>
      </c>
      <c r="I66" s="18">
        <f>IF(OR(F66="",G66=""),"",F66&amp;"-"&amp;G66)</f>
        <v/>
      </c>
      <c r="J66" s="12" t="n"/>
      <c r="K66" s="12" t="n"/>
      <c r="L66" s="12" t="n"/>
      <c r="M66" s="12" t="n"/>
      <c r="N66" s="12" t="n"/>
    </row>
    <row r="67">
      <c r="A67" s="16" t="n"/>
      <c r="B67" s="12" t="n"/>
      <c r="C67" s="12" t="n"/>
      <c r="D67" s="12" t="n"/>
      <c r="E67" s="12" t="n"/>
      <c r="F67" s="12" t="n"/>
      <c r="G67" s="12" t="n"/>
      <c r="H67" s="18">
        <f>IF(OR(F67="",G67=""),"",IF(F67&gt;G67,"Win",IF(F67&lt;G67,"Loss","Tie")))</f>
        <v/>
      </c>
      <c r="I67" s="18">
        <f>IF(OR(F67="",G67=""),"",F67&amp;"-"&amp;G67)</f>
        <v/>
      </c>
      <c r="J67" s="12" t="n"/>
      <c r="K67" s="12" t="n"/>
      <c r="L67" s="12" t="n"/>
      <c r="M67" s="12" t="n"/>
      <c r="N67" s="12" t="n"/>
    </row>
    <row r="68">
      <c r="A68" s="16" t="n"/>
      <c r="B68" s="12" t="n"/>
      <c r="C68" s="12" t="n"/>
      <c r="D68" s="12" t="n"/>
      <c r="E68" s="12" t="n"/>
      <c r="F68" s="12" t="n"/>
      <c r="G68" s="12" t="n"/>
      <c r="H68" s="18">
        <f>IF(OR(F68="",G68=""),"",IF(F68&gt;G68,"Win",IF(F68&lt;G68,"Loss","Tie")))</f>
        <v/>
      </c>
      <c r="I68" s="18">
        <f>IF(OR(F68="",G68=""),"",F68&amp;"-"&amp;G68)</f>
        <v/>
      </c>
      <c r="J68" s="12" t="n"/>
      <c r="K68" s="12" t="n"/>
      <c r="L68" s="12" t="n"/>
      <c r="M68" s="12" t="n"/>
      <c r="N68" s="12" t="n"/>
    </row>
    <row r="69">
      <c r="A69" s="16" t="n"/>
      <c r="B69" s="12" t="n"/>
      <c r="C69" s="12" t="n"/>
      <c r="D69" s="12" t="n"/>
      <c r="E69" s="12" t="n"/>
      <c r="F69" s="12" t="n"/>
      <c r="G69" s="12" t="n"/>
      <c r="H69" s="18">
        <f>IF(OR(F69="",G69=""),"",IF(F69&gt;G69,"Win",IF(F69&lt;G69,"Loss","Tie")))</f>
        <v/>
      </c>
      <c r="I69" s="18">
        <f>IF(OR(F69="",G69=""),"",F69&amp;"-"&amp;G69)</f>
        <v/>
      </c>
      <c r="J69" s="12" t="n"/>
      <c r="K69" s="12" t="n"/>
      <c r="L69" s="12" t="n"/>
      <c r="M69" s="12" t="n"/>
      <c r="N69" s="12" t="n"/>
    </row>
    <row r="70">
      <c r="A70" s="16" t="n"/>
      <c r="B70" s="12" t="n"/>
      <c r="C70" s="12" t="n"/>
      <c r="D70" s="12" t="n"/>
      <c r="E70" s="12" t="n"/>
      <c r="F70" s="12" t="n"/>
      <c r="G70" s="12" t="n"/>
      <c r="H70" s="18">
        <f>IF(OR(F70="",G70=""),"",IF(F70&gt;G70,"Win",IF(F70&lt;G70,"Loss","Tie")))</f>
        <v/>
      </c>
      <c r="I70" s="18">
        <f>IF(OR(F70="",G70=""),"",F70&amp;"-"&amp;G70)</f>
        <v/>
      </c>
      <c r="J70" s="12" t="n"/>
      <c r="K70" s="12" t="n"/>
      <c r="L70" s="12" t="n"/>
      <c r="M70" s="12" t="n"/>
      <c r="N70" s="12" t="n"/>
    </row>
    <row r="71">
      <c r="A71" s="16" t="n"/>
      <c r="B71" s="12" t="n"/>
      <c r="C71" s="12" t="n"/>
      <c r="D71" s="12" t="n"/>
      <c r="E71" s="12" t="n"/>
      <c r="F71" s="12" t="n"/>
      <c r="G71" s="12" t="n"/>
      <c r="H71" s="18">
        <f>IF(OR(F71="",G71=""),"",IF(F71&gt;G71,"Win",IF(F71&lt;G71,"Loss","Tie")))</f>
        <v/>
      </c>
      <c r="I71" s="18">
        <f>IF(OR(F71="",G71=""),"",F71&amp;"-"&amp;G71)</f>
        <v/>
      </c>
      <c r="J71" s="12" t="n"/>
      <c r="K71" s="12" t="n"/>
      <c r="L71" s="12" t="n"/>
      <c r="M71" s="12" t="n"/>
      <c r="N71" s="12" t="n"/>
    </row>
    <row r="72">
      <c r="A72" s="16" t="n"/>
      <c r="B72" s="12" t="n"/>
      <c r="C72" s="12" t="n"/>
      <c r="D72" s="12" t="n"/>
      <c r="E72" s="12" t="n"/>
      <c r="F72" s="12" t="n"/>
      <c r="G72" s="12" t="n"/>
      <c r="H72" s="18">
        <f>IF(OR(F72="",G72=""),"",IF(F72&gt;G72,"Win",IF(F72&lt;G72,"Loss","Tie")))</f>
        <v/>
      </c>
      <c r="I72" s="18">
        <f>IF(OR(F72="",G72=""),"",F72&amp;"-"&amp;G72)</f>
        <v/>
      </c>
      <c r="J72" s="12" t="n"/>
      <c r="K72" s="12" t="n"/>
      <c r="L72" s="12" t="n"/>
      <c r="M72" s="12" t="n"/>
      <c r="N72" s="12" t="n"/>
    </row>
    <row r="73">
      <c r="A73" s="16" t="n"/>
      <c r="B73" s="12" t="n"/>
      <c r="C73" s="12" t="n"/>
      <c r="D73" s="12" t="n"/>
      <c r="E73" s="12" t="n"/>
      <c r="F73" s="12" t="n"/>
      <c r="G73" s="12" t="n"/>
      <c r="H73" s="18">
        <f>IF(OR(F73="",G73=""),"",IF(F73&gt;G73,"Win",IF(F73&lt;G73,"Loss","Tie")))</f>
        <v/>
      </c>
      <c r="I73" s="18">
        <f>IF(OR(F73="",G73=""),"",F73&amp;"-"&amp;G73)</f>
        <v/>
      </c>
      <c r="J73" s="12" t="n"/>
      <c r="K73" s="12" t="n"/>
      <c r="L73" s="12" t="n"/>
      <c r="M73" s="12" t="n"/>
      <c r="N73" s="12" t="n"/>
    </row>
    <row r="74">
      <c r="A74" s="16" t="n"/>
      <c r="B74" s="12" t="n"/>
      <c r="C74" s="12" t="n"/>
      <c r="D74" s="12" t="n"/>
      <c r="E74" s="12" t="n"/>
      <c r="F74" s="12" t="n"/>
      <c r="G74" s="12" t="n"/>
      <c r="H74" s="18">
        <f>IF(OR(F74="",G74=""),"",IF(F74&gt;G74,"Win",IF(F74&lt;G74,"Loss","Tie")))</f>
        <v/>
      </c>
      <c r="I74" s="18">
        <f>IF(OR(F74="",G74=""),"",F74&amp;"-"&amp;G74)</f>
        <v/>
      </c>
      <c r="J74" s="12" t="n"/>
      <c r="K74" s="12" t="n"/>
      <c r="L74" s="12" t="n"/>
      <c r="M74" s="12" t="n"/>
      <c r="N74" s="12" t="n"/>
    </row>
    <row r="75">
      <c r="A75" s="16" t="n"/>
      <c r="B75" s="12" t="n"/>
      <c r="C75" s="12" t="n"/>
      <c r="D75" s="12" t="n"/>
      <c r="E75" s="12" t="n"/>
      <c r="F75" s="12" t="n"/>
      <c r="G75" s="12" t="n"/>
      <c r="H75" s="18">
        <f>IF(OR(F75="",G75=""),"",IF(F75&gt;G75,"Win",IF(F75&lt;G75,"Loss","Tie")))</f>
        <v/>
      </c>
      <c r="I75" s="18">
        <f>IF(OR(F75="",G75=""),"",F75&amp;"-"&amp;G75)</f>
        <v/>
      </c>
      <c r="J75" s="12" t="n"/>
      <c r="K75" s="12" t="n"/>
      <c r="L75" s="12" t="n"/>
      <c r="M75" s="12" t="n"/>
      <c r="N75" s="12" t="n"/>
    </row>
    <row r="76">
      <c r="A76" s="16" t="n"/>
      <c r="B76" s="12" t="n"/>
      <c r="C76" s="12" t="n"/>
      <c r="D76" s="12" t="n"/>
      <c r="E76" s="12" t="n"/>
      <c r="F76" s="12" t="n"/>
      <c r="G76" s="12" t="n"/>
      <c r="H76" s="18">
        <f>IF(OR(F76="",G76=""),"",IF(F76&gt;G76,"Win",IF(F76&lt;G76,"Loss","Tie")))</f>
        <v/>
      </c>
      <c r="I76" s="18">
        <f>IF(OR(F76="",G76=""),"",F76&amp;"-"&amp;G76)</f>
        <v/>
      </c>
      <c r="J76" s="12" t="n"/>
      <c r="K76" s="12" t="n"/>
      <c r="L76" s="12" t="n"/>
      <c r="M76" s="12" t="n"/>
      <c r="N76" s="12" t="n"/>
    </row>
    <row r="77">
      <c r="A77" s="16" t="n"/>
      <c r="B77" s="12" t="n"/>
      <c r="C77" s="12" t="n"/>
      <c r="D77" s="12" t="n"/>
      <c r="E77" s="12" t="n"/>
      <c r="F77" s="12" t="n"/>
      <c r="G77" s="12" t="n"/>
      <c r="H77" s="18">
        <f>IF(OR(F77="",G77=""),"",IF(F77&gt;G77,"Win",IF(F77&lt;G77,"Loss","Tie")))</f>
        <v/>
      </c>
      <c r="I77" s="18">
        <f>IF(OR(F77="",G77=""),"",F77&amp;"-"&amp;G77)</f>
        <v/>
      </c>
      <c r="J77" s="12" t="n"/>
      <c r="K77" s="12" t="n"/>
      <c r="L77" s="12" t="n"/>
      <c r="M77" s="12" t="n"/>
      <c r="N77" s="12" t="n"/>
    </row>
    <row r="78">
      <c r="A78" s="16" t="n"/>
      <c r="B78" s="12" t="n"/>
      <c r="C78" s="12" t="n"/>
      <c r="D78" s="12" t="n"/>
      <c r="E78" s="12" t="n"/>
      <c r="F78" s="12" t="n"/>
      <c r="G78" s="12" t="n"/>
      <c r="H78" s="18">
        <f>IF(OR(F78="",G78=""),"",IF(F78&gt;G78,"Win",IF(F78&lt;G78,"Loss","Tie")))</f>
        <v/>
      </c>
      <c r="I78" s="18">
        <f>IF(OR(F78="",G78=""),"",F78&amp;"-"&amp;G78)</f>
        <v/>
      </c>
      <c r="J78" s="12" t="n"/>
      <c r="K78" s="12" t="n"/>
      <c r="L78" s="12" t="n"/>
      <c r="M78" s="12" t="n"/>
      <c r="N78" s="12" t="n"/>
    </row>
    <row r="79">
      <c r="A79" s="16" t="n"/>
      <c r="B79" s="12" t="n"/>
      <c r="C79" s="12" t="n"/>
      <c r="D79" s="12" t="n"/>
      <c r="E79" s="12" t="n"/>
      <c r="F79" s="12" t="n"/>
      <c r="G79" s="12" t="n"/>
      <c r="H79" s="18">
        <f>IF(OR(F79="",G79=""),"",IF(F79&gt;G79,"Win",IF(F79&lt;G79,"Loss","Tie")))</f>
        <v/>
      </c>
      <c r="I79" s="18">
        <f>IF(OR(F79="",G79=""),"",F79&amp;"-"&amp;G79)</f>
        <v/>
      </c>
      <c r="J79" s="12" t="n"/>
      <c r="K79" s="12" t="n"/>
      <c r="L79" s="12" t="n"/>
      <c r="M79" s="12" t="n"/>
      <c r="N79" s="12" t="n"/>
    </row>
    <row r="80">
      <c r="A80" s="16" t="n"/>
      <c r="B80" s="12" t="n"/>
      <c r="C80" s="12" t="n"/>
      <c r="D80" s="12" t="n"/>
      <c r="E80" s="12" t="n"/>
      <c r="F80" s="12" t="n"/>
      <c r="G80" s="12" t="n"/>
      <c r="H80" s="18">
        <f>IF(OR(F80="",G80=""),"",IF(F80&gt;G80,"Win",IF(F80&lt;G80,"Loss","Tie")))</f>
        <v/>
      </c>
      <c r="I80" s="18">
        <f>IF(OR(F80="",G80=""),"",F80&amp;"-"&amp;G80)</f>
        <v/>
      </c>
      <c r="J80" s="12" t="n"/>
      <c r="K80" s="12" t="n"/>
      <c r="L80" s="12" t="n"/>
      <c r="M80" s="12" t="n"/>
      <c r="N80" s="12" t="n"/>
    </row>
    <row r="81">
      <c r="A81" s="16" t="n"/>
      <c r="B81" s="12" t="n"/>
      <c r="C81" s="12" t="n"/>
      <c r="D81" s="12" t="n"/>
      <c r="E81" s="12" t="n"/>
      <c r="F81" s="12" t="n"/>
      <c r="G81" s="12" t="n"/>
      <c r="H81" s="18">
        <f>IF(OR(F81="",G81=""),"",IF(F81&gt;G81,"Win",IF(F81&lt;G81,"Loss","Tie")))</f>
        <v/>
      </c>
      <c r="I81" s="18">
        <f>IF(OR(F81="",G81=""),"",F81&amp;"-"&amp;G81)</f>
        <v/>
      </c>
      <c r="J81" s="12" t="n"/>
      <c r="K81" s="12" t="n"/>
      <c r="L81" s="12" t="n"/>
      <c r="M81" s="12" t="n"/>
      <c r="N81" s="12" t="n"/>
    </row>
    <row r="82">
      <c r="A82" s="16" t="n"/>
      <c r="B82" s="12" t="n"/>
      <c r="C82" s="12" t="n"/>
      <c r="D82" s="12" t="n"/>
      <c r="E82" s="12" t="n"/>
      <c r="F82" s="12" t="n"/>
      <c r="G82" s="12" t="n"/>
      <c r="H82" s="18">
        <f>IF(OR(F82="",G82=""),"",IF(F82&gt;G82,"Win",IF(F82&lt;G82,"Loss","Tie")))</f>
        <v/>
      </c>
      <c r="I82" s="18">
        <f>IF(OR(F82="",G82=""),"",F82&amp;"-"&amp;G82)</f>
        <v/>
      </c>
      <c r="J82" s="12" t="n"/>
      <c r="K82" s="12" t="n"/>
      <c r="L82" s="12" t="n"/>
      <c r="M82" s="12" t="n"/>
      <c r="N82" s="12" t="n"/>
    </row>
    <row r="83">
      <c r="A83" s="16" t="n"/>
      <c r="B83" s="12" t="n"/>
      <c r="C83" s="12" t="n"/>
      <c r="D83" s="12" t="n"/>
      <c r="E83" s="12" t="n"/>
      <c r="F83" s="12" t="n"/>
      <c r="G83" s="12" t="n"/>
      <c r="H83" s="18">
        <f>IF(OR(F83="",G83=""),"",IF(F83&gt;G83,"Win",IF(F83&lt;G83,"Loss","Tie")))</f>
        <v/>
      </c>
      <c r="I83" s="18">
        <f>IF(OR(F83="",G83=""),"",F83&amp;"-"&amp;G83)</f>
        <v/>
      </c>
      <c r="J83" s="12" t="n"/>
      <c r="K83" s="12" t="n"/>
      <c r="L83" s="12" t="n"/>
      <c r="M83" s="12" t="n"/>
      <c r="N83" s="12" t="n"/>
    </row>
    <row r="84">
      <c r="A84" s="16" t="n"/>
      <c r="B84" s="12" t="n"/>
      <c r="C84" s="12" t="n"/>
      <c r="D84" s="12" t="n"/>
      <c r="E84" s="12" t="n"/>
      <c r="F84" s="12" t="n"/>
      <c r="G84" s="12" t="n"/>
      <c r="H84" s="18">
        <f>IF(OR(F84="",G84=""),"",IF(F84&gt;G84,"Win",IF(F84&lt;G84,"Loss","Tie")))</f>
        <v/>
      </c>
      <c r="I84" s="18">
        <f>IF(OR(F84="",G84=""),"",F84&amp;"-"&amp;G84)</f>
        <v/>
      </c>
      <c r="J84" s="12" t="n"/>
      <c r="K84" s="12" t="n"/>
      <c r="L84" s="12" t="n"/>
      <c r="M84" s="12" t="n"/>
      <c r="N84" s="12" t="n"/>
    </row>
    <row r="85">
      <c r="A85" s="16" t="n"/>
      <c r="B85" s="12" t="n"/>
      <c r="C85" s="12" t="n"/>
      <c r="D85" s="12" t="n"/>
      <c r="E85" s="12" t="n"/>
      <c r="F85" s="12" t="n"/>
      <c r="G85" s="12" t="n"/>
      <c r="H85" s="18">
        <f>IF(OR(F85="",G85=""),"",IF(F85&gt;G85,"Win",IF(F85&lt;G85,"Loss","Tie")))</f>
        <v/>
      </c>
      <c r="I85" s="18">
        <f>IF(OR(F85="",G85=""),"",F85&amp;"-"&amp;G85)</f>
        <v/>
      </c>
      <c r="J85" s="12" t="n"/>
      <c r="K85" s="12" t="n"/>
      <c r="L85" s="12" t="n"/>
      <c r="M85" s="12" t="n"/>
      <c r="N85" s="12" t="n"/>
    </row>
    <row r="86">
      <c r="A86" s="16" t="n"/>
      <c r="B86" s="12" t="n"/>
      <c r="C86" s="12" t="n"/>
      <c r="D86" s="12" t="n"/>
      <c r="E86" s="12" t="n"/>
      <c r="F86" s="12" t="n"/>
      <c r="G86" s="12" t="n"/>
      <c r="H86" s="18">
        <f>IF(OR(F86="",G86=""),"",IF(F86&gt;G86,"Win",IF(F86&lt;G86,"Loss","Tie")))</f>
        <v/>
      </c>
      <c r="I86" s="18">
        <f>IF(OR(F86="",G86=""),"",F86&amp;"-"&amp;G86)</f>
        <v/>
      </c>
      <c r="J86" s="12" t="n"/>
      <c r="K86" s="12" t="n"/>
      <c r="L86" s="12" t="n"/>
      <c r="M86" s="12" t="n"/>
      <c r="N86" s="12" t="n"/>
    </row>
    <row r="87">
      <c r="A87" s="16" t="n"/>
      <c r="B87" s="12" t="n"/>
      <c r="C87" s="12" t="n"/>
      <c r="D87" s="12" t="n"/>
      <c r="E87" s="12" t="n"/>
      <c r="F87" s="12" t="n"/>
      <c r="G87" s="12" t="n"/>
      <c r="H87" s="18">
        <f>IF(OR(F87="",G87=""),"",IF(F87&gt;G87,"Win",IF(F87&lt;G87,"Loss","Tie")))</f>
        <v/>
      </c>
      <c r="I87" s="18">
        <f>IF(OR(F87="",G87=""),"",F87&amp;"-"&amp;G87)</f>
        <v/>
      </c>
      <c r="J87" s="12" t="n"/>
      <c r="K87" s="12" t="n"/>
      <c r="L87" s="12" t="n"/>
      <c r="M87" s="12" t="n"/>
      <c r="N87" s="12" t="n"/>
    </row>
    <row r="88">
      <c r="A88" s="16" t="n"/>
      <c r="B88" s="12" t="n"/>
      <c r="C88" s="12" t="n"/>
      <c r="D88" s="12" t="n"/>
      <c r="E88" s="12" t="n"/>
      <c r="F88" s="12" t="n"/>
      <c r="G88" s="12" t="n"/>
      <c r="H88" s="18">
        <f>IF(OR(F88="",G88=""),"",IF(F88&gt;G88,"Win",IF(F88&lt;G88,"Loss","Tie")))</f>
        <v/>
      </c>
      <c r="I88" s="18">
        <f>IF(OR(F88="",G88=""),"",F88&amp;"-"&amp;G88)</f>
        <v/>
      </c>
      <c r="J88" s="12" t="n"/>
      <c r="K88" s="12" t="n"/>
      <c r="L88" s="12" t="n"/>
      <c r="M88" s="12" t="n"/>
      <c r="N88" s="12" t="n"/>
    </row>
    <row r="89">
      <c r="A89" s="16" t="n"/>
      <c r="B89" s="12" t="n"/>
      <c r="C89" s="12" t="n"/>
      <c r="D89" s="12" t="n"/>
      <c r="E89" s="12" t="n"/>
      <c r="F89" s="12" t="n"/>
      <c r="G89" s="12" t="n"/>
      <c r="H89" s="18">
        <f>IF(OR(F89="",G89=""),"",IF(F89&gt;G89,"Win",IF(F89&lt;G89,"Loss","Tie")))</f>
        <v/>
      </c>
      <c r="I89" s="18">
        <f>IF(OR(F89="",G89=""),"",F89&amp;"-"&amp;G89)</f>
        <v/>
      </c>
      <c r="J89" s="12" t="n"/>
      <c r="K89" s="12" t="n"/>
      <c r="L89" s="12" t="n"/>
      <c r="M89" s="12" t="n"/>
      <c r="N89" s="12" t="n"/>
    </row>
    <row r="90">
      <c r="A90" s="16" t="n"/>
      <c r="B90" s="12" t="n"/>
      <c r="C90" s="12" t="n"/>
      <c r="D90" s="12" t="n"/>
      <c r="E90" s="12" t="n"/>
      <c r="F90" s="12" t="n"/>
      <c r="G90" s="12" t="n"/>
      <c r="H90" s="18">
        <f>IF(OR(F90="",G90=""),"",IF(F90&gt;G90,"Win",IF(F90&lt;G90,"Loss","Tie")))</f>
        <v/>
      </c>
      <c r="I90" s="18">
        <f>IF(OR(F90="",G90=""),"",F90&amp;"-"&amp;G90)</f>
        <v/>
      </c>
      <c r="J90" s="12" t="n"/>
      <c r="K90" s="12" t="n"/>
      <c r="L90" s="12" t="n"/>
      <c r="M90" s="12" t="n"/>
      <c r="N90" s="12" t="n"/>
    </row>
    <row r="91">
      <c r="A91" s="16" t="n"/>
      <c r="B91" s="12" t="n"/>
      <c r="C91" s="12" t="n"/>
      <c r="D91" s="12" t="n"/>
      <c r="E91" s="12" t="n"/>
      <c r="F91" s="12" t="n"/>
      <c r="G91" s="12" t="n"/>
      <c r="H91" s="18">
        <f>IF(OR(F91="",G91=""),"",IF(F91&gt;G91,"Win",IF(F91&lt;G91,"Loss","Tie")))</f>
        <v/>
      </c>
      <c r="I91" s="18">
        <f>IF(OR(F91="",G91=""),"",F91&amp;"-"&amp;G91)</f>
        <v/>
      </c>
      <c r="J91" s="12" t="n"/>
      <c r="K91" s="12" t="n"/>
      <c r="L91" s="12" t="n"/>
      <c r="M91" s="12" t="n"/>
      <c r="N91" s="12" t="n"/>
    </row>
    <row r="92">
      <c r="A92" s="16" t="n"/>
      <c r="B92" s="12" t="n"/>
      <c r="C92" s="12" t="n"/>
      <c r="D92" s="12" t="n"/>
      <c r="E92" s="12" t="n"/>
      <c r="F92" s="12" t="n"/>
      <c r="G92" s="12" t="n"/>
      <c r="H92" s="18">
        <f>IF(OR(F92="",G92=""),"",IF(F92&gt;G92,"Win",IF(F92&lt;G92,"Loss","Tie")))</f>
        <v/>
      </c>
      <c r="I92" s="18">
        <f>IF(OR(F92="",G92=""),"",F92&amp;"-"&amp;G92)</f>
        <v/>
      </c>
      <c r="J92" s="12" t="n"/>
      <c r="K92" s="12" t="n"/>
      <c r="L92" s="12" t="n"/>
      <c r="M92" s="12" t="n"/>
      <c r="N92" s="12" t="n"/>
    </row>
    <row r="93">
      <c r="A93" s="16" t="n"/>
      <c r="B93" s="12" t="n"/>
      <c r="C93" s="12" t="n"/>
      <c r="D93" s="12" t="n"/>
      <c r="E93" s="12" t="n"/>
      <c r="F93" s="12" t="n"/>
      <c r="G93" s="12" t="n"/>
      <c r="H93" s="18">
        <f>IF(OR(F93="",G93=""),"",IF(F93&gt;G93,"Win",IF(F93&lt;G93,"Loss","Tie")))</f>
        <v/>
      </c>
      <c r="I93" s="18">
        <f>IF(OR(F93="",G93=""),"",F93&amp;"-"&amp;G93)</f>
        <v/>
      </c>
      <c r="J93" s="12" t="n"/>
      <c r="K93" s="12" t="n"/>
      <c r="L93" s="12" t="n"/>
      <c r="M93" s="12" t="n"/>
      <c r="N93" s="12" t="n"/>
    </row>
    <row r="94">
      <c r="A94" s="16" t="n"/>
      <c r="B94" s="12" t="n"/>
      <c r="C94" s="12" t="n"/>
      <c r="D94" s="12" t="n"/>
      <c r="E94" s="12" t="n"/>
      <c r="F94" s="12" t="n"/>
      <c r="G94" s="12" t="n"/>
      <c r="H94" s="18">
        <f>IF(OR(F94="",G94=""),"",IF(F94&gt;G94,"Win",IF(F94&lt;G94,"Loss","Tie")))</f>
        <v/>
      </c>
      <c r="I94" s="18">
        <f>IF(OR(F94="",G94=""),"",F94&amp;"-"&amp;G94)</f>
        <v/>
      </c>
      <c r="J94" s="12" t="n"/>
      <c r="K94" s="12" t="n"/>
      <c r="L94" s="12" t="n"/>
      <c r="M94" s="12" t="n"/>
      <c r="N94" s="12" t="n"/>
    </row>
    <row r="95">
      <c r="A95" s="16" t="n"/>
      <c r="B95" s="12" t="n"/>
      <c r="C95" s="12" t="n"/>
      <c r="D95" s="12" t="n"/>
      <c r="E95" s="12" t="n"/>
      <c r="F95" s="12" t="n"/>
      <c r="G95" s="12" t="n"/>
      <c r="H95" s="18">
        <f>IF(OR(F95="",G95=""),"",IF(F95&gt;G95,"Win",IF(F95&lt;G95,"Loss","Tie")))</f>
        <v/>
      </c>
      <c r="I95" s="18">
        <f>IF(OR(F95="",G95=""),"",F95&amp;"-"&amp;G95)</f>
        <v/>
      </c>
      <c r="J95" s="12" t="n"/>
      <c r="K95" s="12" t="n"/>
      <c r="L95" s="12" t="n"/>
      <c r="M95" s="12" t="n"/>
      <c r="N95" s="12" t="n"/>
    </row>
    <row r="96">
      <c r="A96" s="16" t="n"/>
      <c r="B96" s="12" t="n"/>
      <c r="C96" s="12" t="n"/>
      <c r="D96" s="12" t="n"/>
      <c r="E96" s="12" t="n"/>
      <c r="F96" s="12" t="n"/>
      <c r="G96" s="12" t="n"/>
      <c r="H96" s="18">
        <f>IF(OR(F96="",G96=""),"",IF(F96&gt;G96,"Win",IF(F96&lt;G96,"Loss","Tie")))</f>
        <v/>
      </c>
      <c r="I96" s="18">
        <f>IF(OR(F96="",G96=""),"",F96&amp;"-"&amp;G96)</f>
        <v/>
      </c>
      <c r="J96" s="12" t="n"/>
      <c r="K96" s="12" t="n"/>
      <c r="L96" s="12" t="n"/>
      <c r="M96" s="12" t="n"/>
      <c r="N96" s="12" t="n"/>
    </row>
    <row r="97">
      <c r="A97" s="16" t="n"/>
      <c r="B97" s="12" t="n"/>
      <c r="C97" s="12" t="n"/>
      <c r="D97" s="12" t="n"/>
      <c r="E97" s="12" t="n"/>
      <c r="F97" s="12" t="n"/>
      <c r="G97" s="12" t="n"/>
      <c r="H97" s="18">
        <f>IF(OR(F97="",G97=""),"",IF(F97&gt;G97,"Win",IF(F97&lt;G97,"Loss","Tie")))</f>
        <v/>
      </c>
      <c r="I97" s="18">
        <f>IF(OR(F97="",G97=""),"",F97&amp;"-"&amp;G97)</f>
        <v/>
      </c>
      <c r="J97" s="12" t="n"/>
      <c r="K97" s="12" t="n"/>
      <c r="L97" s="12" t="n"/>
      <c r="M97" s="12" t="n"/>
      <c r="N97" s="12" t="n"/>
    </row>
    <row r="98">
      <c r="A98" s="16" t="n"/>
      <c r="B98" s="12" t="n"/>
      <c r="C98" s="12" t="n"/>
      <c r="D98" s="12" t="n"/>
      <c r="E98" s="12" t="n"/>
      <c r="F98" s="12" t="n"/>
      <c r="G98" s="12" t="n"/>
      <c r="H98" s="18">
        <f>IF(OR(F98="",G98=""),"",IF(F98&gt;G98,"Win",IF(F98&lt;G98,"Loss","Tie")))</f>
        <v/>
      </c>
      <c r="I98" s="18">
        <f>IF(OR(F98="",G98=""),"",F98&amp;"-"&amp;G98)</f>
        <v/>
      </c>
      <c r="J98" s="12" t="n"/>
      <c r="K98" s="12" t="n"/>
      <c r="L98" s="12" t="n"/>
      <c r="M98" s="12" t="n"/>
      <c r="N98" s="12" t="n"/>
    </row>
    <row r="99">
      <c r="A99" s="16" t="n"/>
      <c r="B99" s="12" t="n"/>
      <c r="C99" s="12" t="n"/>
      <c r="D99" s="12" t="n"/>
      <c r="E99" s="12" t="n"/>
      <c r="F99" s="12" t="n"/>
      <c r="G99" s="12" t="n"/>
      <c r="H99" s="18">
        <f>IF(OR(F99="",G99=""),"",IF(F99&gt;G99,"Win",IF(F99&lt;G99,"Loss","Tie")))</f>
        <v/>
      </c>
      <c r="I99" s="18">
        <f>IF(OR(F99="",G99=""),"",F99&amp;"-"&amp;G99)</f>
        <v/>
      </c>
      <c r="J99" s="12" t="n"/>
      <c r="K99" s="12" t="n"/>
      <c r="L99" s="12" t="n"/>
      <c r="M99" s="12" t="n"/>
      <c r="N99" s="12" t="n"/>
    </row>
    <row r="100">
      <c r="A100" s="16" t="n"/>
      <c r="B100" s="12" t="n"/>
      <c r="C100" s="12" t="n"/>
      <c r="D100" s="12" t="n"/>
      <c r="E100" s="12" t="n"/>
      <c r="F100" s="12" t="n"/>
      <c r="G100" s="12" t="n"/>
      <c r="H100" s="18">
        <f>IF(OR(F100="",G100=""),"",IF(F100&gt;G100,"Win",IF(F100&lt;G100,"Loss","Tie")))</f>
        <v/>
      </c>
      <c r="I100" s="18">
        <f>IF(OR(F100="",G100=""),"",F100&amp;"-"&amp;G100)</f>
        <v/>
      </c>
      <c r="J100" s="12" t="n"/>
      <c r="K100" s="12" t="n"/>
      <c r="L100" s="12" t="n"/>
      <c r="M100" s="12" t="n"/>
      <c r="N100" s="12" t="n"/>
    </row>
    <row r="101">
      <c r="A101" s="16" t="n"/>
      <c r="B101" s="12" t="n"/>
      <c r="C101" s="12" t="n"/>
      <c r="D101" s="12" t="n"/>
      <c r="E101" s="12" t="n"/>
      <c r="F101" s="12" t="n"/>
      <c r="G101" s="12" t="n"/>
      <c r="H101" s="18">
        <f>IF(OR(F101="",G101=""),"",IF(F101&gt;G101,"Win",IF(F101&lt;G101,"Loss","Tie")))</f>
        <v/>
      </c>
      <c r="I101" s="18">
        <f>IF(OR(F101="",G101=""),"",F101&amp;"-"&amp;G101)</f>
        <v/>
      </c>
      <c r="J101" s="12" t="n"/>
      <c r="K101" s="12" t="n"/>
      <c r="L101" s="12" t="n"/>
      <c r="M101" s="12" t="n"/>
      <c r="N101" s="12" t="n"/>
    </row>
    <row r="102">
      <c r="A102" s="16" t="n"/>
      <c r="B102" s="12" t="n"/>
      <c r="C102" s="12" t="n"/>
      <c r="D102" s="12" t="n"/>
      <c r="E102" s="12" t="n"/>
      <c r="F102" s="12" t="n"/>
      <c r="G102" s="12" t="n"/>
      <c r="H102" s="18">
        <f>IF(OR(F102="",G102=""),"",IF(F102&gt;G102,"Win",IF(F102&lt;G102,"Loss","Tie")))</f>
        <v/>
      </c>
      <c r="I102" s="18">
        <f>IF(OR(F102="",G102=""),"",F102&amp;"-"&amp;G102)</f>
        <v/>
      </c>
      <c r="J102" s="12" t="n"/>
      <c r="K102" s="12" t="n"/>
      <c r="L102" s="12" t="n"/>
      <c r="M102" s="12" t="n"/>
      <c r="N102" s="12" t="n"/>
    </row>
    <row r="103">
      <c r="A103" s="16" t="n"/>
      <c r="B103" s="12" t="n"/>
      <c r="C103" s="12" t="n"/>
      <c r="D103" s="12" t="n"/>
      <c r="E103" s="12" t="n"/>
      <c r="F103" s="12" t="n"/>
      <c r="G103" s="12" t="n"/>
      <c r="H103" s="18">
        <f>IF(OR(F103="",G103=""),"",IF(F103&gt;G103,"Win",IF(F103&lt;G103,"Loss","Tie")))</f>
        <v/>
      </c>
      <c r="I103" s="18">
        <f>IF(OR(F103="",G103=""),"",F103&amp;"-"&amp;G103)</f>
        <v/>
      </c>
      <c r="J103" s="12" t="n"/>
      <c r="K103" s="12" t="n"/>
      <c r="L103" s="12" t="n"/>
      <c r="M103" s="12" t="n"/>
      <c r="N103" s="12" t="n"/>
    </row>
    <row r="104">
      <c r="A104" s="16" t="n"/>
      <c r="B104" s="12" t="n"/>
      <c r="C104" s="12" t="n"/>
      <c r="D104" s="12" t="n"/>
      <c r="E104" s="12" t="n"/>
      <c r="F104" s="12" t="n"/>
      <c r="G104" s="12" t="n"/>
      <c r="H104" s="18">
        <f>IF(OR(F104="",G104=""),"",IF(F104&gt;G104,"Win",IF(F104&lt;G104,"Loss","Tie")))</f>
        <v/>
      </c>
      <c r="I104" s="18">
        <f>IF(OR(F104="",G104=""),"",F104&amp;"-"&amp;G104)</f>
        <v/>
      </c>
      <c r="J104" s="12" t="n"/>
      <c r="K104" s="12" t="n"/>
      <c r="L104" s="12" t="n"/>
      <c r="M104" s="12" t="n"/>
      <c r="N104" s="12" t="n"/>
    </row>
    <row r="105">
      <c r="A105" s="16" t="n"/>
      <c r="B105" s="12" t="n"/>
      <c r="C105" s="12" t="n"/>
      <c r="D105" s="12" t="n"/>
      <c r="E105" s="12" t="n"/>
      <c r="F105" s="12" t="n"/>
      <c r="G105" s="12" t="n"/>
      <c r="H105" s="18">
        <f>IF(OR(F105="",G105=""),"",IF(F105&gt;G105,"Win",IF(F105&lt;G105,"Loss","Tie")))</f>
        <v/>
      </c>
      <c r="I105" s="18">
        <f>IF(OR(F105="",G105=""),"",F105&amp;"-"&amp;G105)</f>
        <v/>
      </c>
      <c r="J105" s="12" t="n"/>
      <c r="K105" s="12" t="n"/>
      <c r="L105" s="12" t="n"/>
      <c r="M105" s="12" t="n"/>
      <c r="N105" s="12" t="n"/>
    </row>
    <row r="106">
      <c r="A106" s="16" t="n"/>
      <c r="B106" s="12" t="n"/>
      <c r="C106" s="12" t="n"/>
      <c r="D106" s="12" t="n"/>
      <c r="E106" s="12" t="n"/>
      <c r="F106" s="12" t="n"/>
      <c r="G106" s="12" t="n"/>
      <c r="H106" s="18">
        <f>IF(OR(F106="",G106=""),"",IF(F106&gt;G106,"Win",IF(F106&lt;G106,"Loss","Tie")))</f>
        <v/>
      </c>
      <c r="I106" s="18">
        <f>IF(OR(F106="",G106=""),"",F106&amp;"-"&amp;G106)</f>
        <v/>
      </c>
      <c r="J106" s="12" t="n"/>
      <c r="K106" s="12" t="n"/>
      <c r="L106" s="12" t="n"/>
      <c r="M106" s="12" t="n"/>
      <c r="N106" s="12" t="n"/>
    </row>
    <row r="107">
      <c r="A107" s="16" t="n"/>
      <c r="B107" s="12" t="n"/>
      <c r="C107" s="12" t="n"/>
      <c r="D107" s="12" t="n"/>
      <c r="E107" s="12" t="n"/>
      <c r="F107" s="12" t="n"/>
      <c r="G107" s="12" t="n"/>
      <c r="H107" s="18">
        <f>IF(OR(F107="",G107=""),"",IF(F107&gt;G107,"Win",IF(F107&lt;G107,"Loss","Tie")))</f>
        <v/>
      </c>
      <c r="I107" s="18">
        <f>IF(OR(F107="",G107=""),"",F107&amp;"-"&amp;G107)</f>
        <v/>
      </c>
      <c r="J107" s="12" t="n"/>
      <c r="K107" s="12" t="n"/>
      <c r="L107" s="12" t="n"/>
      <c r="M107" s="12" t="n"/>
      <c r="N107" s="12" t="n"/>
    </row>
    <row r="108">
      <c r="A108" s="16" t="n"/>
      <c r="B108" s="12" t="n"/>
      <c r="C108" s="12" t="n"/>
      <c r="D108" s="12" t="n"/>
      <c r="E108" s="12" t="n"/>
      <c r="F108" s="12" t="n"/>
      <c r="G108" s="12" t="n"/>
      <c r="H108" s="18">
        <f>IF(OR(F108="",G108=""),"",IF(F108&gt;G108,"Win",IF(F108&lt;G108,"Loss","Tie")))</f>
        <v/>
      </c>
      <c r="I108" s="18">
        <f>IF(OR(F108="",G108=""),"",F108&amp;"-"&amp;G108)</f>
        <v/>
      </c>
      <c r="J108" s="12" t="n"/>
      <c r="K108" s="12" t="n"/>
      <c r="L108" s="12" t="n"/>
      <c r="M108" s="12" t="n"/>
      <c r="N108" s="12" t="n"/>
    </row>
    <row r="109">
      <c r="A109" s="16" t="n"/>
      <c r="B109" s="12" t="n"/>
      <c r="C109" s="12" t="n"/>
      <c r="D109" s="12" t="n"/>
      <c r="E109" s="12" t="n"/>
      <c r="F109" s="12" t="n"/>
      <c r="G109" s="12" t="n"/>
      <c r="H109" s="18">
        <f>IF(OR(F109="",G109=""),"",IF(F109&gt;G109,"Win",IF(F109&lt;G109,"Loss","Tie")))</f>
        <v/>
      </c>
      <c r="I109" s="18">
        <f>IF(OR(F109="",G109=""),"",F109&amp;"-"&amp;G109)</f>
        <v/>
      </c>
      <c r="J109" s="12" t="n"/>
      <c r="K109" s="12" t="n"/>
      <c r="L109" s="12" t="n"/>
      <c r="M109" s="12" t="n"/>
      <c r="N109" s="12" t="n"/>
    </row>
    <row r="110">
      <c r="A110" s="16" t="n"/>
      <c r="B110" s="12" t="n"/>
      <c r="C110" s="12" t="n"/>
      <c r="D110" s="12" t="n"/>
      <c r="E110" s="12" t="n"/>
      <c r="F110" s="12" t="n"/>
      <c r="G110" s="12" t="n"/>
      <c r="H110" s="18">
        <f>IF(OR(F110="",G110=""),"",IF(F110&gt;G110,"Win",IF(F110&lt;G110,"Loss","Tie")))</f>
        <v/>
      </c>
      <c r="I110" s="18">
        <f>IF(OR(F110="",G110=""),"",F110&amp;"-"&amp;G110)</f>
        <v/>
      </c>
      <c r="J110" s="12" t="n"/>
      <c r="K110" s="12" t="n"/>
      <c r="L110" s="12" t="n"/>
      <c r="M110" s="12" t="n"/>
      <c r="N110" s="12" t="n"/>
    </row>
    <row r="111">
      <c r="A111" s="16" t="n"/>
      <c r="B111" s="12" t="n"/>
      <c r="C111" s="12" t="n"/>
      <c r="D111" s="12" t="n"/>
      <c r="E111" s="12" t="n"/>
      <c r="F111" s="12" t="n"/>
      <c r="G111" s="12" t="n"/>
      <c r="H111" s="18">
        <f>IF(OR(F111="",G111=""),"",IF(F111&gt;G111,"Win",IF(F111&lt;G111,"Loss","Tie")))</f>
        <v/>
      </c>
      <c r="I111" s="18">
        <f>IF(OR(F111="",G111=""),"",F111&amp;"-"&amp;G111)</f>
        <v/>
      </c>
      <c r="J111" s="12" t="n"/>
      <c r="K111" s="12" t="n"/>
      <c r="L111" s="12" t="n"/>
      <c r="M111" s="12" t="n"/>
      <c r="N111" s="12" t="n"/>
    </row>
    <row r="112">
      <c r="A112" s="16" t="n"/>
      <c r="B112" s="12" t="n"/>
      <c r="C112" s="12" t="n"/>
      <c r="D112" s="12" t="n"/>
      <c r="E112" s="12" t="n"/>
      <c r="F112" s="12" t="n"/>
      <c r="G112" s="12" t="n"/>
      <c r="H112" s="18">
        <f>IF(OR(F112="",G112=""),"",IF(F112&gt;G112,"Win",IF(F112&lt;G112,"Loss","Tie")))</f>
        <v/>
      </c>
      <c r="I112" s="18">
        <f>IF(OR(F112="",G112=""),"",F112&amp;"-"&amp;G112)</f>
        <v/>
      </c>
      <c r="J112" s="12" t="n"/>
      <c r="K112" s="12" t="n"/>
      <c r="L112" s="12" t="n"/>
      <c r="M112" s="12" t="n"/>
      <c r="N112" s="12" t="n"/>
    </row>
    <row r="113">
      <c r="A113" s="16" t="n"/>
      <c r="B113" s="12" t="n"/>
      <c r="C113" s="12" t="n"/>
      <c r="D113" s="12" t="n"/>
      <c r="E113" s="12" t="n"/>
      <c r="F113" s="12" t="n"/>
      <c r="G113" s="12" t="n"/>
      <c r="H113" s="18">
        <f>IF(OR(F113="",G113=""),"",IF(F113&gt;G113,"Win",IF(F113&lt;G113,"Loss","Tie")))</f>
        <v/>
      </c>
      <c r="I113" s="18">
        <f>IF(OR(F113="",G113=""),"",F113&amp;"-"&amp;G113)</f>
        <v/>
      </c>
      <c r="J113" s="12" t="n"/>
      <c r="K113" s="12" t="n"/>
      <c r="L113" s="12" t="n"/>
      <c r="M113" s="12" t="n"/>
      <c r="N113" s="12" t="n"/>
    </row>
    <row r="114">
      <c r="A114" s="16" t="n"/>
      <c r="B114" s="12" t="n"/>
      <c r="C114" s="12" t="n"/>
      <c r="D114" s="12" t="n"/>
      <c r="E114" s="12" t="n"/>
      <c r="F114" s="12" t="n"/>
      <c r="G114" s="12" t="n"/>
      <c r="H114" s="18">
        <f>IF(OR(F114="",G114=""),"",IF(F114&gt;G114,"Win",IF(F114&lt;G114,"Loss","Tie")))</f>
        <v/>
      </c>
      <c r="I114" s="18">
        <f>IF(OR(F114="",G114=""),"",F114&amp;"-"&amp;G114)</f>
        <v/>
      </c>
      <c r="J114" s="12" t="n"/>
      <c r="K114" s="12" t="n"/>
      <c r="L114" s="12" t="n"/>
      <c r="M114" s="12" t="n"/>
      <c r="N114" s="12" t="n"/>
    </row>
    <row r="115">
      <c r="A115" s="16" t="n"/>
      <c r="B115" s="12" t="n"/>
      <c r="C115" s="12" t="n"/>
      <c r="D115" s="12" t="n"/>
      <c r="E115" s="12" t="n"/>
      <c r="F115" s="12" t="n"/>
      <c r="G115" s="12" t="n"/>
      <c r="H115" s="18">
        <f>IF(OR(F115="",G115=""),"",IF(F115&gt;G115,"Win",IF(F115&lt;G115,"Loss","Tie")))</f>
        <v/>
      </c>
      <c r="I115" s="18">
        <f>IF(OR(F115="",G115=""),"",F115&amp;"-"&amp;G115)</f>
        <v/>
      </c>
      <c r="J115" s="12" t="n"/>
      <c r="K115" s="12" t="n"/>
      <c r="L115" s="12" t="n"/>
      <c r="M115" s="12" t="n"/>
      <c r="N115" s="12" t="n"/>
    </row>
    <row r="116">
      <c r="A116" s="16" t="n"/>
      <c r="B116" s="12" t="n"/>
      <c r="C116" s="12" t="n"/>
      <c r="D116" s="12" t="n"/>
      <c r="E116" s="12" t="n"/>
      <c r="F116" s="12" t="n"/>
      <c r="G116" s="12" t="n"/>
      <c r="H116" s="18">
        <f>IF(OR(F116="",G116=""),"",IF(F116&gt;G116,"Win",IF(F116&lt;G116,"Loss","Tie")))</f>
        <v/>
      </c>
      <c r="I116" s="18">
        <f>IF(OR(F116="",G116=""),"",F116&amp;"-"&amp;G116)</f>
        <v/>
      </c>
      <c r="J116" s="12" t="n"/>
      <c r="K116" s="12" t="n"/>
      <c r="L116" s="12" t="n"/>
      <c r="M116" s="12" t="n"/>
      <c r="N116" s="12" t="n"/>
    </row>
    <row r="117">
      <c r="A117" s="16" t="n"/>
      <c r="B117" s="12" t="n"/>
      <c r="C117" s="12" t="n"/>
      <c r="D117" s="12" t="n"/>
      <c r="E117" s="12" t="n"/>
      <c r="F117" s="12" t="n"/>
      <c r="G117" s="12" t="n"/>
      <c r="H117" s="18">
        <f>IF(OR(F117="",G117=""),"",IF(F117&gt;G117,"Win",IF(F117&lt;G117,"Loss","Tie")))</f>
        <v/>
      </c>
      <c r="I117" s="18">
        <f>IF(OR(F117="",G117=""),"",F117&amp;"-"&amp;G117)</f>
        <v/>
      </c>
      <c r="J117" s="12" t="n"/>
      <c r="K117" s="12" t="n"/>
      <c r="L117" s="12" t="n"/>
      <c r="M117" s="12" t="n"/>
      <c r="N117" s="12" t="n"/>
    </row>
    <row r="118">
      <c r="A118" s="16" t="n"/>
      <c r="B118" s="12" t="n"/>
      <c r="C118" s="12" t="n"/>
      <c r="D118" s="12" t="n"/>
      <c r="E118" s="12" t="n"/>
      <c r="F118" s="12" t="n"/>
      <c r="G118" s="12" t="n"/>
      <c r="H118" s="18">
        <f>IF(OR(F118="",G118=""),"",IF(F118&gt;G118,"Win",IF(F118&lt;G118,"Loss","Tie")))</f>
        <v/>
      </c>
      <c r="I118" s="18">
        <f>IF(OR(F118="",G118=""),"",F118&amp;"-"&amp;G118)</f>
        <v/>
      </c>
      <c r="J118" s="12" t="n"/>
      <c r="K118" s="12" t="n"/>
      <c r="L118" s="12" t="n"/>
      <c r="M118" s="12" t="n"/>
      <c r="N118" s="12" t="n"/>
    </row>
    <row r="119">
      <c r="A119" s="16" t="n"/>
      <c r="B119" s="12" t="n"/>
      <c r="C119" s="12" t="n"/>
      <c r="D119" s="12" t="n"/>
      <c r="E119" s="12" t="n"/>
      <c r="F119" s="12" t="n"/>
      <c r="G119" s="12" t="n"/>
      <c r="H119" s="18">
        <f>IF(OR(F119="",G119=""),"",IF(F119&gt;G119,"Win",IF(F119&lt;G119,"Loss","Tie")))</f>
        <v/>
      </c>
      <c r="I119" s="18">
        <f>IF(OR(F119="",G119=""),"",F119&amp;"-"&amp;G119)</f>
        <v/>
      </c>
      <c r="J119" s="12" t="n"/>
      <c r="K119" s="12" t="n"/>
      <c r="L119" s="12" t="n"/>
      <c r="M119" s="12" t="n"/>
      <c r="N119" s="12" t="n"/>
    </row>
    <row r="120">
      <c r="A120" s="16" t="n"/>
      <c r="B120" s="12" t="n"/>
      <c r="C120" s="12" t="n"/>
      <c r="D120" s="12" t="n"/>
      <c r="E120" s="12" t="n"/>
      <c r="F120" s="12" t="n"/>
      <c r="G120" s="12" t="n"/>
      <c r="H120" s="18">
        <f>IF(OR(F120="",G120=""),"",IF(F120&gt;G120,"Win",IF(F120&lt;G120,"Loss","Tie")))</f>
        <v/>
      </c>
      <c r="I120" s="18">
        <f>IF(OR(F120="",G120=""),"",F120&amp;"-"&amp;G120)</f>
        <v/>
      </c>
      <c r="J120" s="12" t="n"/>
      <c r="K120" s="12" t="n"/>
      <c r="L120" s="12" t="n"/>
      <c r="M120" s="12" t="n"/>
      <c r="N120" s="12" t="n"/>
    </row>
    <row r="121">
      <c r="A121" s="16" t="n"/>
      <c r="B121" s="12" t="n"/>
      <c r="C121" s="12" t="n"/>
      <c r="D121" s="12" t="n"/>
      <c r="E121" s="12" t="n"/>
      <c r="F121" s="12" t="n"/>
      <c r="G121" s="12" t="n"/>
      <c r="H121" s="18">
        <f>IF(OR(F121="",G121=""),"",IF(F121&gt;G121,"Win",IF(F121&lt;G121,"Loss","Tie")))</f>
        <v/>
      </c>
      <c r="I121" s="18">
        <f>IF(OR(F121="",G121=""),"",F121&amp;"-"&amp;G121)</f>
        <v/>
      </c>
      <c r="J121" s="12" t="n"/>
      <c r="K121" s="12" t="n"/>
      <c r="L121" s="12" t="n"/>
      <c r="M121" s="12" t="n"/>
      <c r="N121" s="12" t="n"/>
    </row>
    <row r="122">
      <c r="A122" s="16" t="n"/>
      <c r="B122" s="12" t="n"/>
      <c r="C122" s="12" t="n"/>
      <c r="D122" s="12" t="n"/>
      <c r="E122" s="12" t="n"/>
      <c r="F122" s="12" t="n"/>
      <c r="G122" s="12" t="n"/>
      <c r="H122" s="18">
        <f>IF(OR(F122="",G122=""),"",IF(F122&gt;G122,"Win",IF(F122&lt;G122,"Loss","Tie")))</f>
        <v/>
      </c>
      <c r="I122" s="18">
        <f>IF(OR(F122="",G122=""),"",F122&amp;"-"&amp;G122)</f>
        <v/>
      </c>
      <c r="J122" s="12" t="n"/>
      <c r="K122" s="12" t="n"/>
      <c r="L122" s="12" t="n"/>
      <c r="M122" s="12" t="n"/>
      <c r="N122" s="12" t="n"/>
    </row>
    <row r="123">
      <c r="A123" s="16" t="n"/>
      <c r="B123" s="12" t="n"/>
      <c r="C123" s="12" t="n"/>
      <c r="D123" s="12" t="n"/>
      <c r="E123" s="12" t="n"/>
      <c r="F123" s="12" t="n"/>
      <c r="G123" s="12" t="n"/>
      <c r="H123" s="18">
        <f>IF(OR(F123="",G123=""),"",IF(F123&gt;G123,"Win",IF(F123&lt;G123,"Loss","Tie")))</f>
        <v/>
      </c>
      <c r="I123" s="18">
        <f>IF(OR(F123="",G123=""),"",F123&amp;"-"&amp;G123)</f>
        <v/>
      </c>
      <c r="J123" s="12" t="n"/>
      <c r="K123" s="12" t="n"/>
      <c r="L123" s="12" t="n"/>
      <c r="M123" s="12" t="n"/>
      <c r="N123" s="12" t="n"/>
    </row>
    <row r="124">
      <c r="A124" s="16" t="n"/>
      <c r="B124" s="12" t="n"/>
      <c r="C124" s="12" t="n"/>
      <c r="D124" s="12" t="n"/>
      <c r="E124" s="12" t="n"/>
      <c r="F124" s="12" t="n"/>
      <c r="G124" s="12" t="n"/>
      <c r="H124" s="18">
        <f>IF(OR(F124="",G124=""),"",IF(F124&gt;G124,"Win",IF(F124&lt;G124,"Loss","Tie")))</f>
        <v/>
      </c>
      <c r="I124" s="18">
        <f>IF(OR(F124="",G124=""),"",F124&amp;"-"&amp;G124)</f>
        <v/>
      </c>
      <c r="J124" s="12" t="n"/>
      <c r="K124" s="12" t="n"/>
      <c r="L124" s="12" t="n"/>
      <c r="M124" s="12" t="n"/>
      <c r="N124" s="12" t="n"/>
    </row>
    <row r="125">
      <c r="A125" s="16" t="n"/>
      <c r="B125" s="12" t="n"/>
      <c r="C125" s="12" t="n"/>
      <c r="D125" s="12" t="n"/>
      <c r="E125" s="12" t="n"/>
      <c r="F125" s="12" t="n"/>
      <c r="G125" s="12" t="n"/>
      <c r="H125" s="18">
        <f>IF(OR(F125="",G125=""),"",IF(F125&gt;G125,"Win",IF(F125&lt;G125,"Loss","Tie")))</f>
        <v/>
      </c>
      <c r="I125" s="18">
        <f>IF(OR(F125="",G125=""),"",F125&amp;"-"&amp;G125)</f>
        <v/>
      </c>
      <c r="J125" s="12" t="n"/>
      <c r="K125" s="12" t="n"/>
      <c r="L125" s="12" t="n"/>
      <c r="M125" s="12" t="n"/>
      <c r="N125" s="12" t="n"/>
    </row>
    <row r="126">
      <c r="A126" s="16" t="n"/>
      <c r="B126" s="12" t="n"/>
      <c r="C126" s="12" t="n"/>
      <c r="D126" s="12" t="n"/>
      <c r="E126" s="12" t="n"/>
      <c r="F126" s="12" t="n"/>
      <c r="G126" s="12" t="n"/>
      <c r="H126" s="18">
        <f>IF(OR(F126="",G126=""),"",IF(F126&gt;G126,"Win",IF(F126&lt;G126,"Loss","Tie")))</f>
        <v/>
      </c>
      <c r="I126" s="18">
        <f>IF(OR(F126="",G126=""),"",F126&amp;"-"&amp;G126)</f>
        <v/>
      </c>
      <c r="J126" s="12" t="n"/>
      <c r="K126" s="12" t="n"/>
      <c r="L126" s="12" t="n"/>
      <c r="M126" s="12" t="n"/>
      <c r="N126" s="12" t="n"/>
    </row>
    <row r="127">
      <c r="A127" s="16" t="n"/>
      <c r="B127" s="12" t="n"/>
      <c r="C127" s="12" t="n"/>
      <c r="D127" s="12" t="n"/>
      <c r="E127" s="12" t="n"/>
      <c r="F127" s="12" t="n"/>
      <c r="G127" s="12" t="n"/>
      <c r="H127" s="18">
        <f>IF(OR(F127="",G127=""),"",IF(F127&gt;G127,"Win",IF(F127&lt;G127,"Loss","Tie")))</f>
        <v/>
      </c>
      <c r="I127" s="18">
        <f>IF(OR(F127="",G127=""),"",F127&amp;"-"&amp;G127)</f>
        <v/>
      </c>
      <c r="J127" s="12" t="n"/>
      <c r="K127" s="12" t="n"/>
      <c r="L127" s="12" t="n"/>
      <c r="M127" s="12" t="n"/>
      <c r="N127" s="12" t="n"/>
    </row>
    <row r="128">
      <c r="A128" s="16" t="n"/>
      <c r="B128" s="12" t="n"/>
      <c r="C128" s="12" t="n"/>
      <c r="D128" s="12" t="n"/>
      <c r="E128" s="12" t="n"/>
      <c r="F128" s="12" t="n"/>
      <c r="G128" s="12" t="n"/>
      <c r="H128" s="18">
        <f>IF(OR(F128="",G128=""),"",IF(F128&gt;G128,"Win",IF(F128&lt;G128,"Loss","Tie")))</f>
        <v/>
      </c>
      <c r="I128" s="18">
        <f>IF(OR(F128="",G128=""),"",F128&amp;"-"&amp;G128)</f>
        <v/>
      </c>
      <c r="J128" s="12" t="n"/>
      <c r="K128" s="12" t="n"/>
      <c r="L128" s="12" t="n"/>
      <c r="M128" s="12" t="n"/>
      <c r="N128" s="12" t="n"/>
    </row>
    <row r="129">
      <c r="A129" s="16" t="n"/>
      <c r="B129" s="12" t="n"/>
      <c r="C129" s="12" t="n"/>
      <c r="D129" s="12" t="n"/>
      <c r="E129" s="12" t="n"/>
      <c r="F129" s="12" t="n"/>
      <c r="G129" s="12" t="n"/>
      <c r="H129" s="18">
        <f>IF(OR(F129="",G129=""),"",IF(F129&gt;G129,"Win",IF(F129&lt;G129,"Loss","Tie")))</f>
        <v/>
      </c>
      <c r="I129" s="18">
        <f>IF(OR(F129="",G129=""),"",F129&amp;"-"&amp;G129)</f>
        <v/>
      </c>
      <c r="J129" s="12" t="n"/>
      <c r="K129" s="12" t="n"/>
      <c r="L129" s="12" t="n"/>
      <c r="M129" s="12" t="n"/>
      <c r="N129" s="12" t="n"/>
    </row>
    <row r="130">
      <c r="A130" s="16" t="n"/>
      <c r="B130" s="12" t="n"/>
      <c r="C130" s="12" t="n"/>
      <c r="D130" s="12" t="n"/>
      <c r="E130" s="12" t="n"/>
      <c r="F130" s="12" t="n"/>
      <c r="G130" s="12" t="n"/>
      <c r="H130" s="18">
        <f>IF(OR(F130="",G130=""),"",IF(F130&gt;G130,"Win",IF(F130&lt;G130,"Loss","Tie")))</f>
        <v/>
      </c>
      <c r="I130" s="18">
        <f>IF(OR(F130="",G130=""),"",F130&amp;"-"&amp;G130)</f>
        <v/>
      </c>
      <c r="J130" s="12" t="n"/>
      <c r="K130" s="12" t="n"/>
      <c r="L130" s="12" t="n"/>
      <c r="M130" s="12" t="n"/>
      <c r="N130" s="12" t="n"/>
    </row>
    <row r="131">
      <c r="A131" s="16" t="n"/>
      <c r="B131" s="12" t="n"/>
      <c r="C131" s="12" t="n"/>
      <c r="D131" s="12" t="n"/>
      <c r="E131" s="12" t="n"/>
      <c r="F131" s="12" t="n"/>
      <c r="G131" s="12" t="n"/>
      <c r="H131" s="18">
        <f>IF(OR(F131="",G131=""),"",IF(F131&gt;G131,"Win",IF(F131&lt;G131,"Loss","Tie")))</f>
        <v/>
      </c>
      <c r="I131" s="18">
        <f>IF(OR(F131="",G131=""),"",F131&amp;"-"&amp;G131)</f>
        <v/>
      </c>
      <c r="J131" s="12" t="n"/>
      <c r="K131" s="12" t="n"/>
      <c r="L131" s="12" t="n"/>
      <c r="M131" s="12" t="n"/>
      <c r="N131" s="12" t="n"/>
    </row>
    <row r="132">
      <c r="A132" s="16" t="n"/>
      <c r="B132" s="12" t="n"/>
      <c r="C132" s="12" t="n"/>
      <c r="D132" s="12" t="n"/>
      <c r="E132" s="12" t="n"/>
      <c r="F132" s="12" t="n"/>
      <c r="G132" s="12" t="n"/>
      <c r="H132" s="18">
        <f>IF(OR(F132="",G132=""),"",IF(F132&gt;G132,"Win",IF(F132&lt;G132,"Loss","Tie")))</f>
        <v/>
      </c>
      <c r="I132" s="18">
        <f>IF(OR(F132="",G132=""),"",F132&amp;"-"&amp;G132)</f>
        <v/>
      </c>
      <c r="J132" s="12" t="n"/>
      <c r="K132" s="12" t="n"/>
      <c r="L132" s="12" t="n"/>
      <c r="M132" s="12" t="n"/>
      <c r="N132" s="12" t="n"/>
    </row>
    <row r="133">
      <c r="A133" s="16" t="n"/>
      <c r="B133" s="12" t="n"/>
      <c r="C133" s="12" t="n"/>
      <c r="D133" s="12" t="n"/>
      <c r="E133" s="12" t="n"/>
      <c r="F133" s="12" t="n"/>
      <c r="G133" s="12" t="n"/>
      <c r="H133" s="18">
        <f>IF(OR(F133="",G133=""),"",IF(F133&gt;G133,"Win",IF(F133&lt;G133,"Loss","Tie")))</f>
        <v/>
      </c>
      <c r="I133" s="18">
        <f>IF(OR(F133="",G133=""),"",F133&amp;"-"&amp;G133)</f>
        <v/>
      </c>
      <c r="J133" s="12" t="n"/>
      <c r="K133" s="12" t="n"/>
      <c r="L133" s="12" t="n"/>
      <c r="M133" s="12" t="n"/>
      <c r="N133" s="12" t="n"/>
    </row>
    <row r="134">
      <c r="A134" s="16" t="n"/>
      <c r="B134" s="12" t="n"/>
      <c r="C134" s="12" t="n"/>
      <c r="D134" s="12" t="n"/>
      <c r="E134" s="12" t="n"/>
      <c r="F134" s="12" t="n"/>
      <c r="G134" s="12" t="n"/>
      <c r="H134" s="18">
        <f>IF(OR(F134="",G134=""),"",IF(F134&gt;G134,"Win",IF(F134&lt;G134,"Loss","Tie")))</f>
        <v/>
      </c>
      <c r="I134" s="18">
        <f>IF(OR(F134="",G134=""),"",F134&amp;"-"&amp;G134)</f>
        <v/>
      </c>
      <c r="J134" s="12" t="n"/>
      <c r="K134" s="12" t="n"/>
      <c r="L134" s="12" t="n"/>
      <c r="M134" s="12" t="n"/>
      <c r="N134" s="12" t="n"/>
    </row>
    <row r="135">
      <c r="A135" s="16" t="n"/>
      <c r="B135" s="12" t="n"/>
      <c r="C135" s="12" t="n"/>
      <c r="D135" s="12" t="n"/>
      <c r="E135" s="12" t="n"/>
      <c r="F135" s="12" t="n"/>
      <c r="G135" s="12" t="n"/>
      <c r="H135" s="18">
        <f>IF(OR(F135="",G135=""),"",IF(F135&gt;G135,"Win",IF(F135&lt;G135,"Loss","Tie")))</f>
        <v/>
      </c>
      <c r="I135" s="18">
        <f>IF(OR(F135="",G135=""),"",F135&amp;"-"&amp;G135)</f>
        <v/>
      </c>
      <c r="J135" s="12" t="n"/>
      <c r="K135" s="12" t="n"/>
      <c r="L135" s="12" t="n"/>
      <c r="M135" s="12" t="n"/>
      <c r="N135" s="12" t="n"/>
    </row>
    <row r="136">
      <c r="A136" s="16" t="n"/>
      <c r="B136" s="12" t="n"/>
      <c r="C136" s="12" t="n"/>
      <c r="D136" s="12" t="n"/>
      <c r="E136" s="12" t="n"/>
      <c r="F136" s="12" t="n"/>
      <c r="G136" s="12" t="n"/>
      <c r="H136" s="18">
        <f>IF(OR(F136="",G136=""),"",IF(F136&gt;G136,"Win",IF(F136&lt;G136,"Loss","Tie")))</f>
        <v/>
      </c>
      <c r="I136" s="18">
        <f>IF(OR(F136="",G136=""),"",F136&amp;"-"&amp;G136)</f>
        <v/>
      </c>
      <c r="J136" s="12" t="n"/>
      <c r="K136" s="12" t="n"/>
      <c r="L136" s="12" t="n"/>
      <c r="M136" s="12" t="n"/>
      <c r="N136" s="12" t="n"/>
    </row>
    <row r="137">
      <c r="A137" s="16" t="n"/>
      <c r="B137" s="12" t="n"/>
      <c r="C137" s="12" t="n"/>
      <c r="D137" s="12" t="n"/>
      <c r="E137" s="12" t="n"/>
      <c r="F137" s="12" t="n"/>
      <c r="G137" s="12" t="n"/>
      <c r="H137" s="18">
        <f>IF(OR(F137="",G137=""),"",IF(F137&gt;G137,"Win",IF(F137&lt;G137,"Loss","Tie")))</f>
        <v/>
      </c>
      <c r="I137" s="18">
        <f>IF(OR(F137="",G137=""),"",F137&amp;"-"&amp;G137)</f>
        <v/>
      </c>
      <c r="J137" s="12" t="n"/>
      <c r="K137" s="12" t="n"/>
      <c r="L137" s="12" t="n"/>
      <c r="M137" s="12" t="n"/>
      <c r="N137" s="12" t="n"/>
    </row>
    <row r="138">
      <c r="A138" s="16" t="n"/>
      <c r="B138" s="12" t="n"/>
      <c r="C138" s="12" t="n"/>
      <c r="D138" s="12" t="n"/>
      <c r="E138" s="12" t="n"/>
      <c r="F138" s="12" t="n"/>
      <c r="G138" s="12" t="n"/>
      <c r="H138" s="18">
        <f>IF(OR(F138="",G138=""),"",IF(F138&gt;G138,"Win",IF(F138&lt;G138,"Loss","Tie")))</f>
        <v/>
      </c>
      <c r="I138" s="18">
        <f>IF(OR(F138="",G138=""),"",F138&amp;"-"&amp;G138)</f>
        <v/>
      </c>
      <c r="J138" s="12" t="n"/>
      <c r="K138" s="12" t="n"/>
      <c r="L138" s="12" t="n"/>
      <c r="M138" s="12" t="n"/>
      <c r="N138" s="12" t="n"/>
    </row>
    <row r="139">
      <c r="A139" s="16" t="n"/>
      <c r="B139" s="12" t="n"/>
      <c r="C139" s="12" t="n"/>
      <c r="D139" s="12" t="n"/>
      <c r="E139" s="12" t="n"/>
      <c r="F139" s="12" t="n"/>
      <c r="G139" s="12" t="n"/>
      <c r="H139" s="18">
        <f>IF(OR(F139="",G139=""),"",IF(F139&gt;G139,"Win",IF(F139&lt;G139,"Loss","Tie")))</f>
        <v/>
      </c>
      <c r="I139" s="18">
        <f>IF(OR(F139="",G139=""),"",F139&amp;"-"&amp;G139)</f>
        <v/>
      </c>
      <c r="J139" s="12" t="n"/>
      <c r="K139" s="12" t="n"/>
      <c r="L139" s="12" t="n"/>
      <c r="M139" s="12" t="n"/>
      <c r="N139" s="12" t="n"/>
    </row>
    <row r="140">
      <c r="A140" s="16" t="n"/>
      <c r="B140" s="12" t="n"/>
      <c r="C140" s="12" t="n"/>
      <c r="D140" s="12" t="n"/>
      <c r="E140" s="12" t="n"/>
      <c r="F140" s="12" t="n"/>
      <c r="G140" s="12" t="n"/>
      <c r="H140" s="18">
        <f>IF(OR(F140="",G140=""),"",IF(F140&gt;G140,"Win",IF(F140&lt;G140,"Loss","Tie")))</f>
        <v/>
      </c>
      <c r="I140" s="18">
        <f>IF(OR(F140="",G140=""),"",F140&amp;"-"&amp;G140)</f>
        <v/>
      </c>
      <c r="J140" s="12" t="n"/>
      <c r="K140" s="12" t="n"/>
      <c r="L140" s="12" t="n"/>
      <c r="M140" s="12" t="n"/>
      <c r="N140" s="12" t="n"/>
    </row>
    <row r="141">
      <c r="A141" s="16" t="n"/>
      <c r="B141" s="12" t="n"/>
      <c r="C141" s="12" t="n"/>
      <c r="D141" s="12" t="n"/>
      <c r="E141" s="12" t="n"/>
      <c r="F141" s="12" t="n"/>
      <c r="G141" s="12" t="n"/>
      <c r="H141" s="18">
        <f>IF(OR(F141="",G141=""),"",IF(F141&gt;G141,"Win",IF(F141&lt;G141,"Loss","Tie")))</f>
        <v/>
      </c>
      <c r="I141" s="18">
        <f>IF(OR(F141="",G141=""),"",F141&amp;"-"&amp;G141)</f>
        <v/>
      </c>
      <c r="J141" s="12" t="n"/>
      <c r="K141" s="12" t="n"/>
      <c r="L141" s="12" t="n"/>
      <c r="M141" s="12" t="n"/>
      <c r="N141" s="12" t="n"/>
    </row>
    <row r="142">
      <c r="A142" s="16" t="n"/>
      <c r="B142" s="12" t="n"/>
      <c r="C142" s="12" t="n"/>
      <c r="D142" s="12" t="n"/>
      <c r="E142" s="12" t="n"/>
      <c r="F142" s="12" t="n"/>
      <c r="G142" s="12" t="n"/>
      <c r="H142" s="18">
        <f>IF(OR(F142="",G142=""),"",IF(F142&gt;G142,"Win",IF(F142&lt;G142,"Loss","Tie")))</f>
        <v/>
      </c>
      <c r="I142" s="18">
        <f>IF(OR(F142="",G142=""),"",F142&amp;"-"&amp;G142)</f>
        <v/>
      </c>
      <c r="J142" s="12" t="n"/>
      <c r="K142" s="12" t="n"/>
      <c r="L142" s="12" t="n"/>
      <c r="M142" s="12" t="n"/>
      <c r="N142" s="12" t="n"/>
    </row>
    <row r="143">
      <c r="A143" s="16" t="n"/>
      <c r="B143" s="12" t="n"/>
      <c r="C143" s="12" t="n"/>
      <c r="D143" s="12" t="n"/>
      <c r="E143" s="12" t="n"/>
      <c r="F143" s="12" t="n"/>
      <c r="G143" s="12" t="n"/>
      <c r="H143" s="18">
        <f>IF(OR(F143="",G143=""),"",IF(F143&gt;G143,"Win",IF(F143&lt;G143,"Loss","Tie")))</f>
        <v/>
      </c>
      <c r="I143" s="18">
        <f>IF(OR(F143="",G143=""),"",F143&amp;"-"&amp;G143)</f>
        <v/>
      </c>
      <c r="J143" s="12" t="n"/>
      <c r="K143" s="12" t="n"/>
      <c r="L143" s="12" t="n"/>
      <c r="M143" s="12" t="n"/>
      <c r="N143" s="12" t="n"/>
    </row>
    <row r="144">
      <c r="A144" s="16" t="n"/>
      <c r="B144" s="12" t="n"/>
      <c r="C144" s="12" t="n"/>
      <c r="D144" s="12" t="n"/>
      <c r="E144" s="12" t="n"/>
      <c r="F144" s="12" t="n"/>
      <c r="G144" s="12" t="n"/>
      <c r="H144" s="18">
        <f>IF(OR(F144="",G144=""),"",IF(F144&gt;G144,"Win",IF(F144&lt;G144,"Loss","Tie")))</f>
        <v/>
      </c>
      <c r="I144" s="18">
        <f>IF(OR(F144="",G144=""),"",F144&amp;"-"&amp;G144)</f>
        <v/>
      </c>
      <c r="J144" s="12" t="n"/>
      <c r="K144" s="12" t="n"/>
      <c r="L144" s="12" t="n"/>
      <c r="M144" s="12" t="n"/>
      <c r="N144" s="12" t="n"/>
    </row>
    <row r="145">
      <c r="A145" s="16" t="n"/>
      <c r="B145" s="12" t="n"/>
      <c r="C145" s="12" t="n"/>
      <c r="D145" s="12" t="n"/>
      <c r="E145" s="12" t="n"/>
      <c r="F145" s="12" t="n"/>
      <c r="G145" s="12" t="n"/>
      <c r="H145" s="18">
        <f>IF(OR(F145="",G145=""),"",IF(F145&gt;G145,"Win",IF(F145&lt;G145,"Loss","Tie")))</f>
        <v/>
      </c>
      <c r="I145" s="18">
        <f>IF(OR(F145="",G145=""),"",F145&amp;"-"&amp;G145)</f>
        <v/>
      </c>
      <c r="J145" s="12" t="n"/>
      <c r="K145" s="12" t="n"/>
      <c r="L145" s="12" t="n"/>
      <c r="M145" s="12" t="n"/>
      <c r="N145" s="12" t="n"/>
    </row>
    <row r="146">
      <c r="A146" s="16" t="n"/>
      <c r="B146" s="12" t="n"/>
      <c r="C146" s="12" t="n"/>
      <c r="D146" s="12" t="n"/>
      <c r="E146" s="12" t="n"/>
      <c r="F146" s="12" t="n"/>
      <c r="G146" s="12" t="n"/>
      <c r="H146" s="18">
        <f>IF(OR(F146="",G146=""),"",IF(F146&gt;G146,"Win",IF(F146&lt;G146,"Loss","Tie")))</f>
        <v/>
      </c>
      <c r="I146" s="18">
        <f>IF(OR(F146="",G146=""),"",F146&amp;"-"&amp;G146)</f>
        <v/>
      </c>
      <c r="J146" s="12" t="n"/>
      <c r="K146" s="12" t="n"/>
      <c r="L146" s="12" t="n"/>
      <c r="M146" s="12" t="n"/>
      <c r="N146" s="12" t="n"/>
    </row>
    <row r="147">
      <c r="A147" s="16" t="n"/>
      <c r="B147" s="12" t="n"/>
      <c r="C147" s="12" t="n"/>
      <c r="D147" s="12" t="n"/>
      <c r="E147" s="12" t="n"/>
      <c r="F147" s="12" t="n"/>
      <c r="G147" s="12" t="n"/>
      <c r="H147" s="18">
        <f>IF(OR(F147="",G147=""),"",IF(F147&gt;G147,"Win",IF(F147&lt;G147,"Loss","Tie")))</f>
        <v/>
      </c>
      <c r="I147" s="18">
        <f>IF(OR(F147="",G147=""),"",F147&amp;"-"&amp;G147)</f>
        <v/>
      </c>
      <c r="J147" s="12" t="n"/>
      <c r="K147" s="12" t="n"/>
      <c r="L147" s="12" t="n"/>
      <c r="M147" s="12" t="n"/>
      <c r="N147" s="12" t="n"/>
    </row>
    <row r="148">
      <c r="A148" s="16" t="n"/>
      <c r="B148" s="12" t="n"/>
      <c r="C148" s="12" t="n"/>
      <c r="D148" s="12" t="n"/>
      <c r="E148" s="12" t="n"/>
      <c r="F148" s="12" t="n"/>
      <c r="G148" s="12" t="n"/>
      <c r="H148" s="18">
        <f>IF(OR(F148="",G148=""),"",IF(F148&gt;G148,"Win",IF(F148&lt;G148,"Loss","Tie")))</f>
        <v/>
      </c>
      <c r="I148" s="18">
        <f>IF(OR(F148="",G148=""),"",F148&amp;"-"&amp;G148)</f>
        <v/>
      </c>
      <c r="J148" s="12" t="n"/>
      <c r="K148" s="12" t="n"/>
      <c r="L148" s="12" t="n"/>
      <c r="M148" s="12" t="n"/>
      <c r="N148" s="12" t="n"/>
    </row>
    <row r="149">
      <c r="A149" s="16" t="n"/>
      <c r="B149" s="12" t="n"/>
      <c r="C149" s="12" t="n"/>
      <c r="D149" s="12" t="n"/>
      <c r="E149" s="12" t="n"/>
      <c r="F149" s="12" t="n"/>
      <c r="G149" s="12" t="n"/>
      <c r="H149" s="18">
        <f>IF(OR(F149="",G149=""),"",IF(F149&gt;G149,"Win",IF(F149&lt;G149,"Loss","Tie")))</f>
        <v/>
      </c>
      <c r="I149" s="18">
        <f>IF(OR(F149="",G149=""),"",F149&amp;"-"&amp;G149)</f>
        <v/>
      </c>
      <c r="J149" s="12" t="n"/>
      <c r="K149" s="12" t="n"/>
      <c r="L149" s="12" t="n"/>
      <c r="M149" s="12" t="n"/>
      <c r="N149" s="12" t="n"/>
    </row>
    <row r="150">
      <c r="A150" s="16" t="n"/>
      <c r="B150" s="12" t="n"/>
      <c r="C150" s="12" t="n"/>
      <c r="D150" s="12" t="n"/>
      <c r="E150" s="12" t="n"/>
      <c r="F150" s="12" t="n"/>
      <c r="G150" s="12" t="n"/>
      <c r="H150" s="18">
        <f>IF(OR(F150="",G150=""),"",IF(F150&gt;G150,"Win",IF(F150&lt;G150,"Loss","Tie")))</f>
        <v/>
      </c>
      <c r="I150" s="18">
        <f>IF(OR(F150="",G150=""),"",F150&amp;"-"&amp;G150)</f>
        <v/>
      </c>
      <c r="J150" s="12" t="n"/>
      <c r="K150" s="12" t="n"/>
      <c r="L150" s="12" t="n"/>
      <c r="M150" s="12" t="n"/>
      <c r="N150" s="12" t="n"/>
    </row>
    <row r="151">
      <c r="A151" s="16" t="n"/>
      <c r="B151" s="12" t="n"/>
      <c r="C151" s="12" t="n"/>
      <c r="D151" s="12" t="n"/>
      <c r="E151" s="12" t="n"/>
      <c r="F151" s="12" t="n"/>
      <c r="G151" s="12" t="n"/>
      <c r="H151" s="18">
        <f>IF(OR(F151="",G151=""),"",IF(F151&gt;G151,"Win",IF(F151&lt;G151,"Loss","Tie")))</f>
        <v/>
      </c>
      <c r="I151" s="18">
        <f>IF(OR(F151="",G151=""),"",F151&amp;"-"&amp;G151)</f>
        <v/>
      </c>
      <c r="J151" s="12" t="n"/>
      <c r="K151" s="12" t="n"/>
      <c r="L151" s="12" t="n"/>
      <c r="M151" s="12" t="n"/>
      <c r="N151" s="12" t="n"/>
    </row>
    <row r="152">
      <c r="A152" s="16" t="n"/>
      <c r="B152" s="12" t="n"/>
      <c r="C152" s="12" t="n"/>
      <c r="D152" s="12" t="n"/>
      <c r="E152" s="12" t="n"/>
      <c r="F152" s="12" t="n"/>
      <c r="G152" s="12" t="n"/>
      <c r="H152" s="18">
        <f>IF(OR(F152="",G152=""),"",IF(F152&gt;G152,"Win",IF(F152&lt;G152,"Loss","Tie")))</f>
        <v/>
      </c>
      <c r="I152" s="18">
        <f>IF(OR(F152="",G152=""),"",F152&amp;"-"&amp;G152)</f>
        <v/>
      </c>
      <c r="J152" s="12" t="n"/>
      <c r="K152" s="12" t="n"/>
      <c r="L152" s="12" t="n"/>
      <c r="M152" s="12" t="n"/>
      <c r="N152" s="12" t="n"/>
    </row>
    <row r="153">
      <c r="A153" s="16" t="n"/>
      <c r="B153" s="12" t="n"/>
      <c r="C153" s="12" t="n"/>
      <c r="D153" s="12" t="n"/>
      <c r="E153" s="12" t="n"/>
      <c r="F153" s="12" t="n"/>
      <c r="G153" s="12" t="n"/>
      <c r="H153" s="18">
        <f>IF(OR(F153="",G153=""),"",IF(F153&gt;G153,"Win",IF(F153&lt;G153,"Loss","Tie")))</f>
        <v/>
      </c>
      <c r="I153" s="18">
        <f>IF(OR(F153="",G153=""),"",F153&amp;"-"&amp;G153)</f>
        <v/>
      </c>
      <c r="J153" s="12" t="n"/>
      <c r="K153" s="12" t="n"/>
      <c r="L153" s="12" t="n"/>
      <c r="M153" s="12" t="n"/>
      <c r="N153" s="12" t="n"/>
    </row>
    <row r="154">
      <c r="A154" s="16" t="n"/>
      <c r="B154" s="12" t="n"/>
      <c r="C154" s="12" t="n"/>
      <c r="D154" s="12" t="n"/>
      <c r="E154" s="12" t="n"/>
      <c r="F154" s="12" t="n"/>
      <c r="G154" s="12" t="n"/>
      <c r="H154" s="18">
        <f>IF(OR(F154="",G154=""),"",IF(F154&gt;G154,"Win",IF(F154&lt;G154,"Loss","Tie")))</f>
        <v/>
      </c>
      <c r="I154" s="18">
        <f>IF(OR(F154="",G154=""),"",F154&amp;"-"&amp;G154)</f>
        <v/>
      </c>
      <c r="J154" s="12" t="n"/>
      <c r="K154" s="12" t="n"/>
      <c r="L154" s="12" t="n"/>
      <c r="M154" s="12" t="n"/>
      <c r="N154" s="12" t="n"/>
    </row>
    <row r="155">
      <c r="A155" s="16" t="n"/>
      <c r="B155" s="12" t="n"/>
      <c r="C155" s="12" t="n"/>
      <c r="D155" s="12" t="n"/>
      <c r="E155" s="12" t="n"/>
      <c r="F155" s="12" t="n"/>
      <c r="G155" s="12" t="n"/>
      <c r="H155" s="18">
        <f>IF(OR(F155="",G155=""),"",IF(F155&gt;G155,"Win",IF(F155&lt;G155,"Loss","Tie")))</f>
        <v/>
      </c>
      <c r="I155" s="18">
        <f>IF(OR(F155="",G155=""),"",F155&amp;"-"&amp;G155)</f>
        <v/>
      </c>
      <c r="J155" s="12" t="n"/>
      <c r="K155" s="12" t="n"/>
      <c r="L155" s="12" t="n"/>
      <c r="M155" s="12" t="n"/>
      <c r="N155" s="12" t="n"/>
    </row>
    <row r="156">
      <c r="A156" s="16" t="n"/>
      <c r="B156" s="12" t="n"/>
      <c r="C156" s="12" t="n"/>
      <c r="D156" s="12" t="n"/>
      <c r="E156" s="12" t="n"/>
      <c r="F156" s="12" t="n"/>
      <c r="G156" s="12" t="n"/>
      <c r="H156" s="18">
        <f>IF(OR(F156="",G156=""),"",IF(F156&gt;G156,"Win",IF(F156&lt;G156,"Loss","Tie")))</f>
        <v/>
      </c>
      <c r="I156" s="18">
        <f>IF(OR(F156="",G156=""),"",F156&amp;"-"&amp;G156)</f>
        <v/>
      </c>
      <c r="J156" s="12" t="n"/>
      <c r="K156" s="12" t="n"/>
      <c r="L156" s="12" t="n"/>
      <c r="M156" s="12" t="n"/>
      <c r="N156" s="12" t="n"/>
    </row>
    <row r="157">
      <c r="A157" s="16" t="n"/>
      <c r="B157" s="12" t="n"/>
      <c r="C157" s="12" t="n"/>
      <c r="D157" s="12" t="n"/>
      <c r="E157" s="12" t="n"/>
      <c r="F157" s="12" t="n"/>
      <c r="G157" s="12" t="n"/>
      <c r="H157" s="18">
        <f>IF(OR(F157="",G157=""),"",IF(F157&gt;G157,"Win",IF(F157&lt;G157,"Loss","Tie")))</f>
        <v/>
      </c>
      <c r="I157" s="18">
        <f>IF(OR(F157="",G157=""),"",F157&amp;"-"&amp;G157)</f>
        <v/>
      </c>
      <c r="J157" s="12" t="n"/>
      <c r="K157" s="12" t="n"/>
      <c r="L157" s="12" t="n"/>
      <c r="M157" s="12" t="n"/>
      <c r="N157" s="12" t="n"/>
    </row>
    <row r="158">
      <c r="A158" s="16" t="n"/>
      <c r="B158" s="12" t="n"/>
      <c r="C158" s="12" t="n"/>
      <c r="D158" s="12" t="n"/>
      <c r="E158" s="12" t="n"/>
      <c r="F158" s="12" t="n"/>
      <c r="G158" s="12" t="n"/>
      <c r="H158" s="18">
        <f>IF(OR(F158="",G158=""),"",IF(F158&gt;G158,"Win",IF(F158&lt;G158,"Loss","Tie")))</f>
        <v/>
      </c>
      <c r="I158" s="18">
        <f>IF(OR(F158="",G158=""),"",F158&amp;"-"&amp;G158)</f>
        <v/>
      </c>
      <c r="J158" s="12" t="n"/>
      <c r="K158" s="12" t="n"/>
      <c r="L158" s="12" t="n"/>
      <c r="M158" s="12" t="n"/>
      <c r="N158" s="12" t="n"/>
    </row>
    <row r="159">
      <c r="A159" s="16" t="n"/>
      <c r="B159" s="12" t="n"/>
      <c r="C159" s="12" t="n"/>
      <c r="D159" s="12" t="n"/>
      <c r="E159" s="12" t="n"/>
      <c r="F159" s="12" t="n"/>
      <c r="G159" s="12" t="n"/>
      <c r="H159" s="18">
        <f>IF(OR(F159="",G159=""),"",IF(F159&gt;G159,"Win",IF(F159&lt;G159,"Loss","Tie")))</f>
        <v/>
      </c>
      <c r="I159" s="18">
        <f>IF(OR(F159="",G159=""),"",F159&amp;"-"&amp;G159)</f>
        <v/>
      </c>
      <c r="J159" s="12" t="n"/>
      <c r="K159" s="12" t="n"/>
      <c r="L159" s="12" t="n"/>
      <c r="M159" s="12" t="n"/>
      <c r="N159" s="12" t="n"/>
    </row>
    <row r="160">
      <c r="A160" s="16" t="n"/>
      <c r="B160" s="12" t="n"/>
      <c r="C160" s="12" t="n"/>
      <c r="D160" s="12" t="n"/>
      <c r="E160" s="12" t="n"/>
      <c r="F160" s="12" t="n"/>
      <c r="G160" s="12" t="n"/>
      <c r="H160" s="18">
        <f>IF(OR(F160="",G160=""),"",IF(F160&gt;G160,"Win",IF(F160&lt;G160,"Loss","Tie")))</f>
        <v/>
      </c>
      <c r="I160" s="18">
        <f>IF(OR(F160="",G160=""),"",F160&amp;"-"&amp;G160)</f>
        <v/>
      </c>
      <c r="J160" s="12" t="n"/>
      <c r="K160" s="12" t="n"/>
      <c r="L160" s="12" t="n"/>
      <c r="M160" s="12" t="n"/>
      <c r="N160" s="12" t="n"/>
    </row>
    <row r="161">
      <c r="A161" s="16" t="n"/>
      <c r="B161" s="12" t="n"/>
      <c r="C161" s="12" t="n"/>
      <c r="D161" s="12" t="n"/>
      <c r="E161" s="12" t="n"/>
      <c r="F161" s="12" t="n"/>
      <c r="G161" s="12" t="n"/>
      <c r="H161" s="18">
        <f>IF(OR(F161="",G161=""),"",IF(F161&gt;G161,"Win",IF(F161&lt;G161,"Loss","Tie")))</f>
        <v/>
      </c>
      <c r="I161" s="18">
        <f>IF(OR(F161="",G161=""),"",F161&amp;"-"&amp;G161)</f>
        <v/>
      </c>
      <c r="J161" s="12" t="n"/>
      <c r="K161" s="12" t="n"/>
      <c r="L161" s="12" t="n"/>
      <c r="M161" s="12" t="n"/>
      <c r="N161" s="12" t="n"/>
    </row>
    <row r="162">
      <c r="A162" s="16" t="n"/>
      <c r="B162" s="12" t="n"/>
      <c r="C162" s="12" t="n"/>
      <c r="D162" s="12" t="n"/>
      <c r="E162" s="12" t="n"/>
      <c r="F162" s="12" t="n"/>
      <c r="G162" s="12" t="n"/>
      <c r="H162" s="18">
        <f>IF(OR(F162="",G162=""),"",IF(F162&gt;G162,"Win",IF(F162&lt;G162,"Loss","Tie")))</f>
        <v/>
      </c>
      <c r="I162" s="18">
        <f>IF(OR(F162="",G162=""),"",F162&amp;"-"&amp;G162)</f>
        <v/>
      </c>
      <c r="J162" s="12" t="n"/>
      <c r="K162" s="12" t="n"/>
      <c r="L162" s="12" t="n"/>
      <c r="M162" s="12" t="n"/>
      <c r="N162" s="12" t="n"/>
    </row>
    <row r="163">
      <c r="A163" s="16" t="n"/>
      <c r="B163" s="12" t="n"/>
      <c r="C163" s="12" t="n"/>
      <c r="D163" s="12" t="n"/>
      <c r="E163" s="12" t="n"/>
      <c r="F163" s="12" t="n"/>
      <c r="G163" s="12" t="n"/>
      <c r="H163" s="18">
        <f>IF(OR(F163="",G163=""),"",IF(F163&gt;G163,"Win",IF(F163&lt;G163,"Loss","Tie")))</f>
        <v/>
      </c>
      <c r="I163" s="18">
        <f>IF(OR(F163="",G163=""),"",F163&amp;"-"&amp;G163)</f>
        <v/>
      </c>
      <c r="J163" s="12" t="n"/>
      <c r="K163" s="12" t="n"/>
      <c r="L163" s="12" t="n"/>
      <c r="M163" s="12" t="n"/>
      <c r="N163" s="12" t="n"/>
    </row>
    <row r="164">
      <c r="A164" s="16" t="n"/>
      <c r="B164" s="12" t="n"/>
      <c r="C164" s="12" t="n"/>
      <c r="D164" s="12" t="n"/>
      <c r="E164" s="12" t="n"/>
      <c r="F164" s="12" t="n"/>
      <c r="G164" s="12" t="n"/>
      <c r="H164" s="18">
        <f>IF(OR(F164="",G164=""),"",IF(F164&gt;G164,"Win",IF(F164&lt;G164,"Loss","Tie")))</f>
        <v/>
      </c>
      <c r="I164" s="18">
        <f>IF(OR(F164="",G164=""),"",F164&amp;"-"&amp;G164)</f>
        <v/>
      </c>
      <c r="J164" s="12" t="n"/>
      <c r="K164" s="12" t="n"/>
      <c r="L164" s="12" t="n"/>
      <c r="M164" s="12" t="n"/>
      <c r="N164" s="12" t="n"/>
    </row>
    <row r="165">
      <c r="A165" s="16" t="n"/>
      <c r="B165" s="12" t="n"/>
      <c r="C165" s="12" t="n"/>
      <c r="D165" s="12" t="n"/>
      <c r="E165" s="12" t="n"/>
      <c r="F165" s="12" t="n"/>
      <c r="G165" s="12" t="n"/>
      <c r="H165" s="18">
        <f>IF(OR(F165="",G165=""),"",IF(F165&gt;G165,"Win",IF(F165&lt;G165,"Loss","Tie")))</f>
        <v/>
      </c>
      <c r="I165" s="18">
        <f>IF(OR(F165="",G165=""),"",F165&amp;"-"&amp;G165)</f>
        <v/>
      </c>
      <c r="J165" s="12" t="n"/>
      <c r="K165" s="12" t="n"/>
      <c r="L165" s="12" t="n"/>
      <c r="M165" s="12" t="n"/>
      <c r="N165" s="12" t="n"/>
    </row>
    <row r="166">
      <c r="A166" s="16" t="n"/>
      <c r="B166" s="12" t="n"/>
      <c r="C166" s="12" t="n"/>
      <c r="D166" s="12" t="n"/>
      <c r="E166" s="12" t="n"/>
      <c r="F166" s="12" t="n"/>
      <c r="G166" s="12" t="n"/>
      <c r="H166" s="18">
        <f>IF(OR(F166="",G166=""),"",IF(F166&gt;G166,"Win",IF(F166&lt;G166,"Loss","Tie")))</f>
        <v/>
      </c>
      <c r="I166" s="18">
        <f>IF(OR(F166="",G166=""),"",F166&amp;"-"&amp;G166)</f>
        <v/>
      </c>
      <c r="J166" s="12" t="n"/>
      <c r="K166" s="12" t="n"/>
      <c r="L166" s="12" t="n"/>
      <c r="M166" s="12" t="n"/>
      <c r="N166" s="12" t="n"/>
    </row>
    <row r="167">
      <c r="A167" s="16" t="n"/>
      <c r="B167" s="12" t="n"/>
      <c r="C167" s="12" t="n"/>
      <c r="D167" s="12" t="n"/>
      <c r="E167" s="12" t="n"/>
      <c r="F167" s="12" t="n"/>
      <c r="G167" s="12" t="n"/>
      <c r="H167" s="18">
        <f>IF(OR(F167="",G167=""),"",IF(F167&gt;G167,"Win",IF(F167&lt;G167,"Loss","Tie")))</f>
        <v/>
      </c>
      <c r="I167" s="18">
        <f>IF(OR(F167="",G167=""),"",F167&amp;"-"&amp;G167)</f>
        <v/>
      </c>
      <c r="J167" s="12" t="n"/>
      <c r="K167" s="12" t="n"/>
      <c r="L167" s="12" t="n"/>
      <c r="M167" s="12" t="n"/>
      <c r="N167" s="12" t="n"/>
    </row>
    <row r="168">
      <c r="A168" s="16" t="n"/>
      <c r="B168" s="12" t="n"/>
      <c r="C168" s="12" t="n"/>
      <c r="D168" s="12" t="n"/>
      <c r="E168" s="12" t="n"/>
      <c r="F168" s="12" t="n"/>
      <c r="G168" s="12" t="n"/>
      <c r="H168" s="18">
        <f>IF(OR(F168="",G168=""),"",IF(F168&gt;G168,"Win",IF(F168&lt;G168,"Loss","Tie")))</f>
        <v/>
      </c>
      <c r="I168" s="18">
        <f>IF(OR(F168="",G168=""),"",F168&amp;"-"&amp;G168)</f>
        <v/>
      </c>
      <c r="J168" s="12" t="n"/>
      <c r="K168" s="12" t="n"/>
      <c r="L168" s="12" t="n"/>
      <c r="M168" s="12" t="n"/>
      <c r="N168" s="12" t="n"/>
    </row>
    <row r="169">
      <c r="A169" s="16" t="n"/>
      <c r="B169" s="12" t="n"/>
      <c r="C169" s="12" t="n"/>
      <c r="D169" s="12" t="n"/>
      <c r="E169" s="12" t="n"/>
      <c r="F169" s="12" t="n"/>
      <c r="G169" s="12" t="n"/>
      <c r="H169" s="18">
        <f>IF(OR(F169="",G169=""),"",IF(F169&gt;G169,"Win",IF(F169&lt;G169,"Loss","Tie")))</f>
        <v/>
      </c>
      <c r="I169" s="18">
        <f>IF(OR(F169="",G169=""),"",F169&amp;"-"&amp;G169)</f>
        <v/>
      </c>
      <c r="J169" s="12" t="n"/>
      <c r="K169" s="12" t="n"/>
      <c r="L169" s="12" t="n"/>
      <c r="M169" s="12" t="n"/>
      <c r="N169" s="12" t="n"/>
    </row>
    <row r="170">
      <c r="A170" s="16" t="n"/>
      <c r="B170" s="12" t="n"/>
      <c r="C170" s="12" t="n"/>
      <c r="D170" s="12" t="n"/>
      <c r="E170" s="12" t="n"/>
      <c r="F170" s="12" t="n"/>
      <c r="G170" s="12" t="n"/>
      <c r="H170" s="18">
        <f>IF(OR(F170="",G170=""),"",IF(F170&gt;G170,"Win",IF(F170&lt;G170,"Loss","Tie")))</f>
        <v/>
      </c>
      <c r="I170" s="18">
        <f>IF(OR(F170="",G170=""),"",F170&amp;"-"&amp;G170)</f>
        <v/>
      </c>
      <c r="J170" s="12" t="n"/>
      <c r="K170" s="12" t="n"/>
      <c r="L170" s="12" t="n"/>
      <c r="M170" s="12" t="n"/>
      <c r="N170" s="12" t="n"/>
    </row>
    <row r="171">
      <c r="A171" s="16" t="n"/>
      <c r="B171" s="12" t="n"/>
      <c r="C171" s="12" t="n"/>
      <c r="D171" s="12" t="n"/>
      <c r="E171" s="12" t="n"/>
      <c r="F171" s="12" t="n"/>
      <c r="G171" s="12" t="n"/>
      <c r="H171" s="18">
        <f>IF(OR(F171="",G171=""),"",IF(F171&gt;G171,"Win",IF(F171&lt;G171,"Loss","Tie")))</f>
        <v/>
      </c>
      <c r="I171" s="18">
        <f>IF(OR(F171="",G171=""),"",F171&amp;"-"&amp;G171)</f>
        <v/>
      </c>
      <c r="J171" s="12" t="n"/>
      <c r="K171" s="12" t="n"/>
      <c r="L171" s="12" t="n"/>
      <c r="M171" s="12" t="n"/>
      <c r="N171" s="12" t="n"/>
    </row>
    <row r="172">
      <c r="A172" s="16" t="n"/>
      <c r="B172" s="12" t="n"/>
      <c r="C172" s="12" t="n"/>
      <c r="D172" s="12" t="n"/>
      <c r="E172" s="12" t="n"/>
      <c r="F172" s="12" t="n"/>
      <c r="G172" s="12" t="n"/>
      <c r="H172" s="18">
        <f>IF(OR(F172="",G172=""),"",IF(F172&gt;G172,"Win",IF(F172&lt;G172,"Loss","Tie")))</f>
        <v/>
      </c>
      <c r="I172" s="18">
        <f>IF(OR(F172="",G172=""),"",F172&amp;"-"&amp;G172)</f>
        <v/>
      </c>
      <c r="J172" s="12" t="n"/>
      <c r="K172" s="12" t="n"/>
      <c r="L172" s="12" t="n"/>
      <c r="M172" s="12" t="n"/>
      <c r="N172" s="12" t="n"/>
    </row>
    <row r="173">
      <c r="A173" s="16" t="n"/>
      <c r="B173" s="12" t="n"/>
      <c r="C173" s="12" t="n"/>
      <c r="D173" s="12" t="n"/>
      <c r="E173" s="12" t="n"/>
      <c r="F173" s="12" t="n"/>
      <c r="G173" s="12" t="n"/>
      <c r="H173" s="18">
        <f>IF(OR(F173="",G173=""),"",IF(F173&gt;G173,"Win",IF(F173&lt;G173,"Loss","Tie")))</f>
        <v/>
      </c>
      <c r="I173" s="18">
        <f>IF(OR(F173="",G173=""),"",F173&amp;"-"&amp;G173)</f>
        <v/>
      </c>
      <c r="J173" s="12" t="n"/>
      <c r="K173" s="12" t="n"/>
      <c r="L173" s="12" t="n"/>
      <c r="M173" s="12" t="n"/>
      <c r="N173" s="12" t="n"/>
    </row>
    <row r="174">
      <c r="A174" s="16" t="n"/>
      <c r="B174" s="12" t="n"/>
      <c r="C174" s="12" t="n"/>
      <c r="D174" s="12" t="n"/>
      <c r="E174" s="12" t="n"/>
      <c r="F174" s="12" t="n"/>
      <c r="G174" s="12" t="n"/>
      <c r="H174" s="18">
        <f>IF(OR(F174="",G174=""),"",IF(F174&gt;G174,"Win",IF(F174&lt;G174,"Loss","Tie")))</f>
        <v/>
      </c>
      <c r="I174" s="18">
        <f>IF(OR(F174="",G174=""),"",F174&amp;"-"&amp;G174)</f>
        <v/>
      </c>
      <c r="J174" s="12" t="n"/>
      <c r="K174" s="12" t="n"/>
      <c r="L174" s="12" t="n"/>
      <c r="M174" s="12" t="n"/>
      <c r="N174" s="12" t="n"/>
    </row>
    <row r="175">
      <c r="A175" s="16" t="n"/>
      <c r="B175" s="12" t="n"/>
      <c r="C175" s="12" t="n"/>
      <c r="D175" s="12" t="n"/>
      <c r="E175" s="12" t="n"/>
      <c r="F175" s="12" t="n"/>
      <c r="G175" s="12" t="n"/>
      <c r="H175" s="18">
        <f>IF(OR(F175="",G175=""),"",IF(F175&gt;G175,"Win",IF(F175&lt;G175,"Loss","Tie")))</f>
        <v/>
      </c>
      <c r="I175" s="18">
        <f>IF(OR(F175="",G175=""),"",F175&amp;"-"&amp;G175)</f>
        <v/>
      </c>
      <c r="J175" s="12" t="n"/>
      <c r="K175" s="12" t="n"/>
      <c r="L175" s="12" t="n"/>
      <c r="M175" s="12" t="n"/>
      <c r="N175" s="12" t="n"/>
    </row>
    <row r="176">
      <c r="A176" s="16" t="n"/>
      <c r="B176" s="12" t="n"/>
      <c r="C176" s="12" t="n"/>
      <c r="D176" s="12" t="n"/>
      <c r="E176" s="12" t="n"/>
      <c r="F176" s="12" t="n"/>
      <c r="G176" s="12" t="n"/>
      <c r="H176" s="18">
        <f>IF(OR(F176="",G176=""),"",IF(F176&gt;G176,"Win",IF(F176&lt;G176,"Loss","Tie")))</f>
        <v/>
      </c>
      <c r="I176" s="18">
        <f>IF(OR(F176="",G176=""),"",F176&amp;"-"&amp;G176)</f>
        <v/>
      </c>
      <c r="J176" s="12" t="n"/>
      <c r="K176" s="12" t="n"/>
      <c r="L176" s="12" t="n"/>
      <c r="M176" s="12" t="n"/>
      <c r="N176" s="12" t="n"/>
    </row>
    <row r="177">
      <c r="A177" s="16" t="n"/>
      <c r="B177" s="12" t="n"/>
      <c r="C177" s="12" t="n"/>
      <c r="D177" s="12" t="n"/>
      <c r="E177" s="12" t="n"/>
      <c r="F177" s="12" t="n"/>
      <c r="G177" s="12" t="n"/>
      <c r="H177" s="18">
        <f>IF(OR(F177="",G177=""),"",IF(F177&gt;G177,"Win",IF(F177&lt;G177,"Loss","Tie")))</f>
        <v/>
      </c>
      <c r="I177" s="18">
        <f>IF(OR(F177="",G177=""),"",F177&amp;"-"&amp;G177)</f>
        <v/>
      </c>
      <c r="J177" s="12" t="n"/>
      <c r="K177" s="12" t="n"/>
      <c r="L177" s="12" t="n"/>
      <c r="M177" s="12" t="n"/>
      <c r="N177" s="12" t="n"/>
    </row>
    <row r="178">
      <c r="A178" s="16" t="n"/>
      <c r="B178" s="12" t="n"/>
      <c r="C178" s="12" t="n"/>
      <c r="D178" s="12" t="n"/>
      <c r="E178" s="12" t="n"/>
      <c r="F178" s="12" t="n"/>
      <c r="G178" s="12" t="n"/>
      <c r="H178" s="18">
        <f>IF(OR(F178="",G178=""),"",IF(F178&gt;G178,"Win",IF(F178&lt;G178,"Loss","Tie")))</f>
        <v/>
      </c>
      <c r="I178" s="18">
        <f>IF(OR(F178="",G178=""),"",F178&amp;"-"&amp;G178)</f>
        <v/>
      </c>
      <c r="J178" s="12" t="n"/>
      <c r="K178" s="12" t="n"/>
      <c r="L178" s="12" t="n"/>
      <c r="M178" s="12" t="n"/>
      <c r="N178" s="12" t="n"/>
    </row>
    <row r="179">
      <c r="A179" s="16" t="n"/>
      <c r="B179" s="12" t="n"/>
      <c r="C179" s="12" t="n"/>
      <c r="D179" s="12" t="n"/>
      <c r="E179" s="12" t="n"/>
      <c r="F179" s="12" t="n"/>
      <c r="G179" s="12" t="n"/>
      <c r="H179" s="18">
        <f>IF(OR(F179="",G179=""),"",IF(F179&gt;G179,"Win",IF(F179&lt;G179,"Loss","Tie")))</f>
        <v/>
      </c>
      <c r="I179" s="18">
        <f>IF(OR(F179="",G179=""),"",F179&amp;"-"&amp;G179)</f>
        <v/>
      </c>
      <c r="J179" s="12" t="n"/>
      <c r="K179" s="12" t="n"/>
      <c r="L179" s="12" t="n"/>
      <c r="M179" s="12" t="n"/>
      <c r="N179" s="12" t="n"/>
    </row>
    <row r="180">
      <c r="A180" s="16" t="n"/>
      <c r="B180" s="12" t="n"/>
      <c r="C180" s="12" t="n"/>
      <c r="D180" s="12" t="n"/>
      <c r="E180" s="12" t="n"/>
      <c r="F180" s="12" t="n"/>
      <c r="G180" s="12" t="n"/>
      <c r="H180" s="18">
        <f>IF(OR(F180="",G180=""),"",IF(F180&gt;G180,"Win",IF(F180&lt;G180,"Loss","Tie")))</f>
        <v/>
      </c>
      <c r="I180" s="18">
        <f>IF(OR(F180="",G180=""),"",F180&amp;"-"&amp;G180)</f>
        <v/>
      </c>
      <c r="J180" s="12" t="n"/>
      <c r="K180" s="12" t="n"/>
      <c r="L180" s="12" t="n"/>
      <c r="M180" s="12" t="n"/>
      <c r="N180" s="12" t="n"/>
    </row>
    <row r="181">
      <c r="A181" s="16" t="n"/>
      <c r="B181" s="12" t="n"/>
      <c r="C181" s="12" t="n"/>
      <c r="D181" s="12" t="n"/>
      <c r="E181" s="12" t="n"/>
      <c r="F181" s="12" t="n"/>
      <c r="G181" s="12" t="n"/>
      <c r="H181" s="18">
        <f>IF(OR(F181="",G181=""),"",IF(F181&gt;G181,"Win",IF(F181&lt;G181,"Loss","Tie")))</f>
        <v/>
      </c>
      <c r="I181" s="18">
        <f>IF(OR(F181="",G181=""),"",F181&amp;"-"&amp;G181)</f>
        <v/>
      </c>
      <c r="J181" s="12" t="n"/>
      <c r="K181" s="12" t="n"/>
      <c r="L181" s="12" t="n"/>
      <c r="M181" s="12" t="n"/>
      <c r="N181" s="12" t="n"/>
    </row>
    <row r="182">
      <c r="A182" s="16" t="n"/>
      <c r="B182" s="12" t="n"/>
      <c r="C182" s="12" t="n"/>
      <c r="D182" s="12" t="n"/>
      <c r="E182" s="12" t="n"/>
      <c r="F182" s="12" t="n"/>
      <c r="G182" s="12" t="n"/>
      <c r="H182" s="18">
        <f>IF(OR(F182="",G182=""),"",IF(F182&gt;G182,"Win",IF(F182&lt;G182,"Loss","Tie")))</f>
        <v/>
      </c>
      <c r="I182" s="18">
        <f>IF(OR(F182="",G182=""),"",F182&amp;"-"&amp;G182)</f>
        <v/>
      </c>
      <c r="J182" s="12" t="n"/>
      <c r="K182" s="12" t="n"/>
      <c r="L182" s="12" t="n"/>
      <c r="M182" s="12" t="n"/>
      <c r="N182" s="12" t="n"/>
    </row>
    <row r="183">
      <c r="A183" s="16" t="n"/>
      <c r="B183" s="12" t="n"/>
      <c r="C183" s="12" t="n"/>
      <c r="D183" s="12" t="n"/>
      <c r="E183" s="12" t="n"/>
      <c r="F183" s="12" t="n"/>
      <c r="G183" s="12" t="n"/>
      <c r="H183" s="18">
        <f>IF(OR(F183="",G183=""),"",IF(F183&gt;G183,"Win",IF(F183&lt;G183,"Loss","Tie")))</f>
        <v/>
      </c>
      <c r="I183" s="18">
        <f>IF(OR(F183="",G183=""),"",F183&amp;"-"&amp;G183)</f>
        <v/>
      </c>
      <c r="J183" s="12" t="n"/>
      <c r="K183" s="12" t="n"/>
      <c r="L183" s="12" t="n"/>
      <c r="M183" s="12" t="n"/>
      <c r="N183" s="12" t="n"/>
    </row>
    <row r="184">
      <c r="A184" s="16" t="n"/>
      <c r="B184" s="12" t="n"/>
      <c r="C184" s="12" t="n"/>
      <c r="D184" s="12" t="n"/>
      <c r="E184" s="12" t="n"/>
      <c r="F184" s="12" t="n"/>
      <c r="G184" s="12" t="n"/>
      <c r="H184" s="18">
        <f>IF(OR(F184="",G184=""),"",IF(F184&gt;G184,"Win",IF(F184&lt;G184,"Loss","Tie")))</f>
        <v/>
      </c>
      <c r="I184" s="18">
        <f>IF(OR(F184="",G184=""),"",F184&amp;"-"&amp;G184)</f>
        <v/>
      </c>
      <c r="J184" s="12" t="n"/>
      <c r="K184" s="12" t="n"/>
      <c r="L184" s="12" t="n"/>
      <c r="M184" s="12" t="n"/>
      <c r="N184" s="12" t="n"/>
    </row>
    <row r="185">
      <c r="A185" s="16" t="n"/>
      <c r="B185" s="12" t="n"/>
      <c r="C185" s="12" t="n"/>
      <c r="D185" s="12" t="n"/>
      <c r="E185" s="12" t="n"/>
      <c r="F185" s="12" t="n"/>
      <c r="G185" s="12" t="n"/>
      <c r="H185" s="18">
        <f>IF(OR(F185="",G185=""),"",IF(F185&gt;G185,"Win",IF(F185&lt;G185,"Loss","Tie")))</f>
        <v/>
      </c>
      <c r="I185" s="18">
        <f>IF(OR(F185="",G185=""),"",F185&amp;"-"&amp;G185)</f>
        <v/>
      </c>
      <c r="J185" s="12" t="n"/>
      <c r="K185" s="12" t="n"/>
      <c r="L185" s="12" t="n"/>
      <c r="M185" s="12" t="n"/>
      <c r="N185" s="12" t="n"/>
    </row>
    <row r="186">
      <c r="A186" s="16" t="n"/>
      <c r="B186" s="12" t="n"/>
      <c r="C186" s="12" t="n"/>
      <c r="D186" s="12" t="n"/>
      <c r="E186" s="12" t="n"/>
      <c r="F186" s="12" t="n"/>
      <c r="G186" s="12" t="n"/>
      <c r="H186" s="18">
        <f>IF(OR(F186="",G186=""),"",IF(F186&gt;G186,"Win",IF(F186&lt;G186,"Loss","Tie")))</f>
        <v/>
      </c>
      <c r="I186" s="18">
        <f>IF(OR(F186="",G186=""),"",F186&amp;"-"&amp;G186)</f>
        <v/>
      </c>
      <c r="J186" s="12" t="n"/>
      <c r="K186" s="12" t="n"/>
      <c r="L186" s="12" t="n"/>
      <c r="M186" s="12" t="n"/>
      <c r="N186" s="12" t="n"/>
    </row>
    <row r="187">
      <c r="A187" s="16" t="n"/>
      <c r="B187" s="12" t="n"/>
      <c r="C187" s="12" t="n"/>
      <c r="D187" s="12" t="n"/>
      <c r="E187" s="12" t="n"/>
      <c r="F187" s="12" t="n"/>
      <c r="G187" s="12" t="n"/>
      <c r="H187" s="18">
        <f>IF(OR(F187="",G187=""),"",IF(F187&gt;G187,"Win",IF(F187&lt;G187,"Loss","Tie")))</f>
        <v/>
      </c>
      <c r="I187" s="18">
        <f>IF(OR(F187="",G187=""),"",F187&amp;"-"&amp;G187)</f>
        <v/>
      </c>
      <c r="J187" s="12" t="n"/>
      <c r="K187" s="12" t="n"/>
      <c r="L187" s="12" t="n"/>
      <c r="M187" s="12" t="n"/>
      <c r="N187" s="12" t="n"/>
    </row>
    <row r="188">
      <c r="A188" s="16" t="n"/>
      <c r="B188" s="12" t="n"/>
      <c r="C188" s="12" t="n"/>
      <c r="D188" s="12" t="n"/>
      <c r="E188" s="12" t="n"/>
      <c r="F188" s="12" t="n"/>
      <c r="G188" s="12" t="n"/>
      <c r="H188" s="18">
        <f>IF(OR(F188="",G188=""),"",IF(F188&gt;G188,"Win",IF(F188&lt;G188,"Loss","Tie")))</f>
        <v/>
      </c>
      <c r="I188" s="18">
        <f>IF(OR(F188="",G188=""),"",F188&amp;"-"&amp;G188)</f>
        <v/>
      </c>
      <c r="J188" s="12" t="n"/>
      <c r="K188" s="12" t="n"/>
      <c r="L188" s="12" t="n"/>
      <c r="M188" s="12" t="n"/>
      <c r="N188" s="12" t="n"/>
    </row>
    <row r="189">
      <c r="A189" s="16" t="n"/>
      <c r="B189" s="12" t="n"/>
      <c r="C189" s="12" t="n"/>
      <c r="D189" s="12" t="n"/>
      <c r="E189" s="12" t="n"/>
      <c r="F189" s="12" t="n"/>
      <c r="G189" s="12" t="n"/>
      <c r="H189" s="18">
        <f>IF(OR(F189="",G189=""),"",IF(F189&gt;G189,"Win",IF(F189&lt;G189,"Loss","Tie")))</f>
        <v/>
      </c>
      <c r="I189" s="18">
        <f>IF(OR(F189="",G189=""),"",F189&amp;"-"&amp;G189)</f>
        <v/>
      </c>
      <c r="J189" s="12" t="n"/>
      <c r="K189" s="12" t="n"/>
      <c r="L189" s="12" t="n"/>
      <c r="M189" s="12" t="n"/>
      <c r="N189" s="12" t="n"/>
    </row>
    <row r="190">
      <c r="A190" s="16" t="n"/>
      <c r="B190" s="12" t="n"/>
      <c r="C190" s="12" t="n"/>
      <c r="D190" s="12" t="n"/>
      <c r="E190" s="12" t="n"/>
      <c r="F190" s="12" t="n"/>
      <c r="G190" s="12" t="n"/>
      <c r="H190" s="18">
        <f>IF(OR(F190="",G190=""),"",IF(F190&gt;G190,"Win",IF(F190&lt;G190,"Loss","Tie")))</f>
        <v/>
      </c>
      <c r="I190" s="18">
        <f>IF(OR(F190="",G190=""),"",F190&amp;"-"&amp;G190)</f>
        <v/>
      </c>
      <c r="J190" s="12" t="n"/>
      <c r="K190" s="12" t="n"/>
      <c r="L190" s="12" t="n"/>
      <c r="M190" s="12" t="n"/>
      <c r="N190" s="12" t="n"/>
    </row>
    <row r="191">
      <c r="A191" s="16" t="n"/>
      <c r="B191" s="12" t="n"/>
      <c r="C191" s="12" t="n"/>
      <c r="D191" s="12" t="n"/>
      <c r="E191" s="12" t="n"/>
      <c r="F191" s="12" t="n"/>
      <c r="G191" s="12" t="n"/>
      <c r="H191" s="18">
        <f>IF(OR(F191="",G191=""),"",IF(F191&gt;G191,"Win",IF(F191&lt;G191,"Loss","Tie")))</f>
        <v/>
      </c>
      <c r="I191" s="18">
        <f>IF(OR(F191="",G191=""),"",F191&amp;"-"&amp;G191)</f>
        <v/>
      </c>
      <c r="J191" s="12" t="n"/>
      <c r="K191" s="12" t="n"/>
      <c r="L191" s="12" t="n"/>
      <c r="M191" s="12" t="n"/>
      <c r="N191" s="12" t="n"/>
    </row>
    <row r="192">
      <c r="A192" s="16" t="n"/>
      <c r="B192" s="12" t="n"/>
      <c r="C192" s="12" t="n"/>
      <c r="D192" s="12" t="n"/>
      <c r="E192" s="12" t="n"/>
      <c r="F192" s="12" t="n"/>
      <c r="G192" s="12" t="n"/>
      <c r="H192" s="18">
        <f>IF(OR(F192="",G192=""),"",IF(F192&gt;G192,"Win",IF(F192&lt;G192,"Loss","Tie")))</f>
        <v/>
      </c>
      <c r="I192" s="18">
        <f>IF(OR(F192="",G192=""),"",F192&amp;"-"&amp;G192)</f>
        <v/>
      </c>
      <c r="J192" s="12" t="n"/>
      <c r="K192" s="12" t="n"/>
      <c r="L192" s="12" t="n"/>
      <c r="M192" s="12" t="n"/>
      <c r="N192" s="12" t="n"/>
    </row>
    <row r="193">
      <c r="A193" s="16" t="n"/>
      <c r="B193" s="12" t="n"/>
      <c r="C193" s="12" t="n"/>
      <c r="D193" s="12" t="n"/>
      <c r="E193" s="12" t="n"/>
      <c r="F193" s="12" t="n"/>
      <c r="G193" s="12" t="n"/>
      <c r="H193" s="18">
        <f>IF(OR(F193="",G193=""),"",IF(F193&gt;G193,"Win",IF(F193&lt;G193,"Loss","Tie")))</f>
        <v/>
      </c>
      <c r="I193" s="18">
        <f>IF(OR(F193="",G193=""),"",F193&amp;"-"&amp;G193)</f>
        <v/>
      </c>
      <c r="J193" s="12" t="n"/>
      <c r="K193" s="12" t="n"/>
      <c r="L193" s="12" t="n"/>
      <c r="M193" s="12" t="n"/>
      <c r="N193" s="12" t="n"/>
    </row>
    <row r="194">
      <c r="A194" s="16" t="n"/>
      <c r="B194" s="12" t="n"/>
      <c r="C194" s="12" t="n"/>
      <c r="D194" s="12" t="n"/>
      <c r="E194" s="12" t="n"/>
      <c r="F194" s="12" t="n"/>
      <c r="G194" s="12" t="n"/>
      <c r="H194" s="18">
        <f>IF(OR(F194="",G194=""),"",IF(F194&gt;G194,"Win",IF(F194&lt;G194,"Loss","Tie")))</f>
        <v/>
      </c>
      <c r="I194" s="18">
        <f>IF(OR(F194="",G194=""),"",F194&amp;"-"&amp;G194)</f>
        <v/>
      </c>
      <c r="J194" s="12" t="n"/>
      <c r="K194" s="12" t="n"/>
      <c r="L194" s="12" t="n"/>
      <c r="M194" s="12" t="n"/>
      <c r="N194" s="12" t="n"/>
    </row>
    <row r="195">
      <c r="A195" s="16" t="n"/>
      <c r="B195" s="12" t="n"/>
      <c r="C195" s="12" t="n"/>
      <c r="D195" s="12" t="n"/>
      <c r="E195" s="12" t="n"/>
      <c r="F195" s="12" t="n"/>
      <c r="G195" s="12" t="n"/>
      <c r="H195" s="18">
        <f>IF(OR(F195="",G195=""),"",IF(F195&gt;G195,"Win",IF(F195&lt;G195,"Loss","Tie")))</f>
        <v/>
      </c>
      <c r="I195" s="18">
        <f>IF(OR(F195="",G195=""),"",F195&amp;"-"&amp;G195)</f>
        <v/>
      </c>
      <c r="J195" s="12" t="n"/>
      <c r="K195" s="12" t="n"/>
      <c r="L195" s="12" t="n"/>
      <c r="M195" s="12" t="n"/>
      <c r="N195" s="12" t="n"/>
    </row>
    <row r="196">
      <c r="A196" s="16" t="n"/>
      <c r="B196" s="12" t="n"/>
      <c r="C196" s="12" t="n"/>
      <c r="D196" s="12" t="n"/>
      <c r="E196" s="12" t="n"/>
      <c r="F196" s="12" t="n"/>
      <c r="G196" s="12" t="n"/>
      <c r="H196" s="18">
        <f>IF(OR(F196="",G196=""),"",IF(F196&gt;G196,"Win",IF(F196&lt;G196,"Loss","Tie")))</f>
        <v/>
      </c>
      <c r="I196" s="18">
        <f>IF(OR(F196="",G196=""),"",F196&amp;"-"&amp;G196)</f>
        <v/>
      </c>
      <c r="J196" s="12" t="n"/>
      <c r="K196" s="12" t="n"/>
      <c r="L196" s="12" t="n"/>
      <c r="M196" s="12" t="n"/>
      <c r="N196" s="12" t="n"/>
    </row>
    <row r="197">
      <c r="A197" s="16" t="n"/>
      <c r="B197" s="12" t="n"/>
      <c r="C197" s="12" t="n"/>
      <c r="D197" s="12" t="n"/>
      <c r="E197" s="12" t="n"/>
      <c r="F197" s="12" t="n"/>
      <c r="G197" s="12" t="n"/>
      <c r="H197" s="18">
        <f>IF(OR(F197="",G197=""),"",IF(F197&gt;G197,"Win",IF(F197&lt;G197,"Loss","Tie")))</f>
        <v/>
      </c>
      <c r="I197" s="18">
        <f>IF(OR(F197="",G197=""),"",F197&amp;"-"&amp;G197)</f>
        <v/>
      </c>
      <c r="J197" s="12" t="n"/>
      <c r="K197" s="12" t="n"/>
      <c r="L197" s="12" t="n"/>
      <c r="M197" s="12" t="n"/>
      <c r="N197" s="12" t="n"/>
    </row>
    <row r="198">
      <c r="A198" s="16" t="n"/>
      <c r="B198" s="12" t="n"/>
      <c r="C198" s="12" t="n"/>
      <c r="D198" s="12" t="n"/>
      <c r="E198" s="12" t="n"/>
      <c r="F198" s="12" t="n"/>
      <c r="G198" s="12" t="n"/>
      <c r="H198" s="18">
        <f>IF(OR(F198="",G198=""),"",IF(F198&gt;G198,"Win",IF(F198&lt;G198,"Loss","Tie")))</f>
        <v/>
      </c>
      <c r="I198" s="18">
        <f>IF(OR(F198="",G198=""),"",F198&amp;"-"&amp;G198)</f>
        <v/>
      </c>
      <c r="J198" s="12" t="n"/>
      <c r="K198" s="12" t="n"/>
      <c r="L198" s="12" t="n"/>
      <c r="M198" s="12" t="n"/>
      <c r="N198" s="12" t="n"/>
    </row>
    <row r="199">
      <c r="A199" s="16" t="n"/>
      <c r="B199" s="12" t="n"/>
      <c r="C199" s="12" t="n"/>
      <c r="D199" s="12" t="n"/>
      <c r="E199" s="12" t="n"/>
      <c r="F199" s="12" t="n"/>
      <c r="G199" s="12" t="n"/>
      <c r="H199" s="18">
        <f>IF(OR(F199="",G199=""),"",IF(F199&gt;G199,"Win",IF(F199&lt;G199,"Loss","Tie")))</f>
        <v/>
      </c>
      <c r="I199" s="18">
        <f>IF(OR(F199="",G199=""),"",F199&amp;"-"&amp;G199)</f>
        <v/>
      </c>
      <c r="J199" s="12" t="n"/>
      <c r="K199" s="12" t="n"/>
      <c r="L199" s="12" t="n"/>
      <c r="M199" s="12" t="n"/>
      <c r="N199" s="12" t="n"/>
    </row>
    <row r="200">
      <c r="A200" s="16" t="n"/>
      <c r="B200" s="12" t="n"/>
      <c r="C200" s="12" t="n"/>
      <c r="D200" s="12" t="n"/>
      <c r="E200" s="12" t="n"/>
      <c r="F200" s="12" t="n"/>
      <c r="G200" s="12" t="n"/>
      <c r="H200" s="18">
        <f>IF(OR(F200="",G200=""),"",IF(F200&gt;G200,"Win",IF(F200&lt;G200,"Loss","Tie")))</f>
        <v/>
      </c>
      <c r="I200" s="18">
        <f>IF(OR(F200="",G200=""),"",F200&amp;"-"&amp;G200)</f>
        <v/>
      </c>
      <c r="J200" s="12" t="n"/>
      <c r="K200" s="12" t="n"/>
      <c r="L200" s="12" t="n"/>
      <c r="M200" s="12" t="n"/>
      <c r="N200" s="12" t="n"/>
    </row>
    <row r="201">
      <c r="A201" s="16" t="n"/>
      <c r="B201" s="12" t="n"/>
      <c r="C201" s="12" t="n"/>
      <c r="D201" s="12" t="n"/>
      <c r="E201" s="12" t="n"/>
      <c r="F201" s="12" t="n"/>
      <c r="G201" s="12" t="n"/>
      <c r="H201" s="18">
        <f>IF(OR(F201="",G201=""),"",IF(F201&gt;G201,"Win",IF(F201&lt;G201,"Loss","Tie")))</f>
        <v/>
      </c>
      <c r="I201" s="18">
        <f>IF(OR(F201="",G201=""),"",F201&amp;"-"&amp;G201)</f>
        <v/>
      </c>
      <c r="J201" s="12" t="n"/>
      <c r="K201" s="12" t="n"/>
      <c r="L201" s="12" t="n"/>
      <c r="M201" s="12" t="n"/>
      <c r="N201" s="12" t="n"/>
    </row>
    <row r="202">
      <c r="A202" s="16" t="n"/>
      <c r="B202" s="12" t="n"/>
      <c r="C202" s="12" t="n"/>
      <c r="D202" s="12" t="n"/>
      <c r="E202" s="12" t="n"/>
      <c r="F202" s="12" t="n"/>
      <c r="G202" s="12" t="n"/>
      <c r="H202" s="18">
        <f>IF(OR(F202="",G202=""),"",IF(F202&gt;G202,"Win",IF(F202&lt;G202,"Loss","Tie")))</f>
        <v/>
      </c>
      <c r="I202" s="18">
        <f>IF(OR(F202="",G202=""),"",F202&amp;"-"&amp;G202)</f>
        <v/>
      </c>
      <c r="J202" s="12" t="n"/>
      <c r="K202" s="12" t="n"/>
      <c r="L202" s="12" t="n"/>
      <c r="M202" s="12" t="n"/>
      <c r="N202" s="12" t="n"/>
    </row>
    <row r="203">
      <c r="A203" s="16" t="n"/>
      <c r="B203" s="12" t="n"/>
      <c r="C203" s="12" t="n"/>
      <c r="D203" s="12" t="n"/>
      <c r="E203" s="12" t="n"/>
      <c r="F203" s="12" t="n"/>
      <c r="G203" s="12" t="n"/>
      <c r="H203" s="18">
        <f>IF(OR(F203="",G203=""),"",IF(F203&gt;G203,"Win",IF(F203&lt;G203,"Loss","Tie")))</f>
        <v/>
      </c>
      <c r="I203" s="18">
        <f>IF(OR(F203="",G203=""),"",F203&amp;"-"&amp;G203)</f>
        <v/>
      </c>
      <c r="J203" s="12" t="n"/>
      <c r="K203" s="12" t="n"/>
      <c r="L203" s="12" t="n"/>
      <c r="M203" s="12" t="n"/>
      <c r="N203" s="12" t="n"/>
    </row>
    <row r="204">
      <c r="A204" s="16" t="n"/>
      <c r="B204" s="12" t="n"/>
      <c r="C204" s="12" t="n"/>
      <c r="D204" s="12" t="n"/>
      <c r="E204" s="12" t="n"/>
      <c r="F204" s="12" t="n"/>
      <c r="G204" s="12" t="n"/>
      <c r="H204" s="18">
        <f>IF(OR(F204="",G204=""),"",IF(F204&gt;G204,"Win",IF(F204&lt;G204,"Loss","Tie")))</f>
        <v/>
      </c>
      <c r="I204" s="18">
        <f>IF(OR(F204="",G204=""),"",F204&amp;"-"&amp;G204)</f>
        <v/>
      </c>
      <c r="J204" s="12" t="n"/>
      <c r="K204" s="12" t="n"/>
      <c r="L204" s="12" t="n"/>
      <c r="M204" s="12" t="n"/>
      <c r="N204" s="12" t="n"/>
    </row>
  </sheetData>
  <mergeCells count="2">
    <mergeCell ref="A2:H2"/>
    <mergeCell ref="A1:H1"/>
  </mergeCells>
  <conditionalFormatting sqref="H5:H204">
    <cfRule type="expression" priority="1" dxfId="0">
      <formula>H5="Win"</formula>
    </cfRule>
    <cfRule type="expression" priority="2" dxfId="1">
      <formula>H5="Loss"</formula>
    </cfRule>
    <cfRule type="expression" priority="3" dxfId="2">
      <formula>H5="Tie"</formula>
    </cfRule>
  </conditionalFormatting>
  <dataValidations count="1">
    <dataValidation sqref="D5:D204" showDropDown="0" showInputMessage="0" showErrorMessage="0" allowBlank="1" type="list">
      <formula1>=Lists!$G$1:$G$3</formula1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32" customWidth="1" min="10" max="10"/>
  </cols>
  <sheetData>
    <row r="1">
      <c r="A1" s="1" t="inlineStr">
        <is>
          <t>League Standings</t>
        </is>
      </c>
      <c r="I1" s="2" t="n"/>
      <c r="J1" s="2" t="n"/>
    </row>
    <row r="2">
      <c r="A2" s="3" t="inlineStr">
        <is>
          <t>Track your league table and compare teams</t>
        </is>
      </c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0" t="inlineStr">
        <is>
          <t>Team</t>
        </is>
      </c>
      <c r="B4" s="10" t="inlineStr">
        <is>
          <t>Played</t>
        </is>
      </c>
      <c r="C4" s="10" t="inlineStr">
        <is>
          <t>Wins</t>
        </is>
      </c>
      <c r="D4" s="10" t="inlineStr">
        <is>
          <t>Losses</t>
        </is>
      </c>
      <c r="E4" s="10" t="inlineStr">
        <is>
          <t>Ties</t>
        </is>
      </c>
      <c r="F4" s="10" t="inlineStr">
        <is>
          <t>Games Won</t>
        </is>
      </c>
      <c r="G4" s="10" t="inlineStr">
        <is>
          <t>Games Lost</t>
        </is>
      </c>
      <c r="H4" s="10" t="inlineStr">
        <is>
          <t>Goal Diff</t>
        </is>
      </c>
      <c r="I4" s="10" t="inlineStr">
        <is>
          <t>Points</t>
        </is>
      </c>
      <c r="J4" s="10" t="inlineStr">
        <is>
          <t>Notes</t>
        </is>
      </c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8">
        <f>IF(OR(C5="",D5=""),"",C5*3+E5)</f>
        <v/>
      </c>
      <c r="J5" s="12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8">
        <f>IF(OR(C6="",D6=""),"",C6*3+E6)</f>
        <v/>
      </c>
      <c r="J6" s="12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8">
        <f>IF(OR(C7="",D7=""),"",C7*3+E7)</f>
        <v/>
      </c>
      <c r="J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8">
        <f>IF(OR(C8="",D8=""),"",C8*3+E8)</f>
        <v/>
      </c>
      <c r="J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8">
        <f>IF(OR(C9="",D9=""),"",C9*3+E9)</f>
        <v/>
      </c>
      <c r="J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8">
        <f>IF(OR(C10="",D10=""),"",C10*3+E10)</f>
        <v/>
      </c>
      <c r="J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8">
        <f>IF(OR(C11="",D11=""),"",C11*3+E11)</f>
        <v/>
      </c>
      <c r="J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8">
        <f>IF(OR(C12="",D12=""),"",C12*3+E12)</f>
        <v/>
      </c>
      <c r="J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8">
        <f>IF(OR(C13="",D13=""),"",C13*3+E13)</f>
        <v/>
      </c>
      <c r="J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8">
        <f>IF(OR(C14="",D14=""),"",C14*3+E14)</f>
        <v/>
      </c>
      <c r="J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8">
        <f>IF(OR(C15="",D15=""),"",C15*3+E15)</f>
        <v/>
      </c>
      <c r="J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8">
        <f>IF(OR(C16="",D16=""),"",C16*3+E16)</f>
        <v/>
      </c>
      <c r="J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8">
        <f>IF(OR(C17="",D17=""),"",C17*3+E17)</f>
        <v/>
      </c>
      <c r="J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8">
        <f>IF(OR(C18="",D18=""),"",C18*3+E18)</f>
        <v/>
      </c>
      <c r="J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8">
        <f>IF(OR(C19="",D19=""),"",C19*3+E19)</f>
        <v/>
      </c>
      <c r="J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8">
        <f>IF(OR(C20="",D20=""),"",C20*3+E20)</f>
        <v/>
      </c>
      <c r="J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8">
        <f>IF(OR(C21="",D21=""),"",C21*3+E21)</f>
        <v/>
      </c>
      <c r="J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8">
        <f>IF(OR(C22="",D22=""),"",C22*3+E22)</f>
        <v/>
      </c>
      <c r="J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8">
        <f>IF(OR(C23="",D23=""),"",C23*3+E23)</f>
        <v/>
      </c>
      <c r="J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8">
        <f>IF(OR(C24="",D24=""),"",C24*3+E24)</f>
        <v/>
      </c>
      <c r="J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8">
        <f>IF(OR(C25="",D25=""),"",C25*3+E25)</f>
        <v/>
      </c>
      <c r="J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8">
        <f>IF(OR(C26="",D26=""),"",C26*3+E26)</f>
        <v/>
      </c>
      <c r="J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8">
        <f>IF(OR(C27="",D27=""),"",C27*3+E27)</f>
        <v/>
      </c>
      <c r="J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8">
        <f>IF(OR(C28="",D28=""),"",C28*3+E28)</f>
        <v/>
      </c>
      <c r="J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8">
        <f>IF(OR(C29="",D29=""),"",C29*3+E29)</f>
        <v/>
      </c>
      <c r="J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8">
        <f>IF(OR(C30="",D30=""),"",C30*3+E30)</f>
        <v/>
      </c>
      <c r="J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8">
        <f>IF(OR(C31="",D31=""),"",C31*3+E31)</f>
        <v/>
      </c>
      <c r="J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8">
        <f>IF(OR(C32="",D32=""),"",C32*3+E32)</f>
        <v/>
      </c>
      <c r="J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8">
        <f>IF(OR(C33="",D33=""),"",C33*3+E33)</f>
        <v/>
      </c>
      <c r="J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8">
        <f>IF(OR(C34="",D34=""),"",C34*3+E34)</f>
        <v/>
      </c>
      <c r="J34" s="12" t="n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34" customWidth="1" min="9" max="9"/>
  </cols>
  <sheetData>
    <row r="1">
      <c r="A1" s="1" t="inlineStr">
        <is>
          <t>Practice Plan</t>
        </is>
      </c>
      <c r="I1" s="2" t="n"/>
    </row>
    <row r="2">
      <c r="A2" s="3" t="inlineStr">
        <is>
          <t>Plan focused sessions and note what needs review</t>
        </is>
      </c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10" t="inlineStr">
        <is>
          <t>Date</t>
        </is>
      </c>
      <c r="B4" s="10" t="inlineStr">
        <is>
          <t>Focus</t>
        </is>
      </c>
      <c r="C4" s="10" t="inlineStr">
        <is>
          <t>Drill/Replay</t>
        </is>
      </c>
      <c r="D4" s="10" t="inlineStr">
        <is>
          <t>Players</t>
        </is>
      </c>
      <c r="E4" s="10" t="inlineStr">
        <is>
          <t>Start</t>
        </is>
      </c>
      <c r="F4" s="10" t="inlineStr">
        <is>
          <t>End</t>
        </is>
      </c>
      <c r="G4" s="10" t="inlineStr">
        <is>
          <t>Priority</t>
        </is>
      </c>
      <c r="H4" s="10" t="inlineStr">
        <is>
          <t>Completed</t>
        </is>
      </c>
      <c r="I4" s="10" t="inlineStr">
        <is>
          <t>Notes</t>
        </is>
      </c>
    </row>
    <row r="5">
      <c r="A5" s="16" t="n"/>
      <c r="B5" s="12" t="n"/>
      <c r="C5" s="12" t="n"/>
      <c r="D5" s="12" t="n"/>
      <c r="E5" s="17" t="n"/>
      <c r="F5" s="17" t="n"/>
      <c r="G5" s="12" t="n"/>
      <c r="H5" s="12" t="n"/>
      <c r="I5" s="12" t="n"/>
    </row>
    <row r="6">
      <c r="A6" s="16" t="n"/>
      <c r="B6" s="12" t="n"/>
      <c r="C6" s="12" t="n"/>
      <c r="D6" s="12" t="n"/>
      <c r="E6" s="17" t="n"/>
      <c r="F6" s="17" t="n"/>
      <c r="G6" s="12" t="n"/>
      <c r="H6" s="12" t="n"/>
      <c r="I6" s="12" t="n"/>
    </row>
    <row r="7">
      <c r="A7" s="16" t="n"/>
      <c r="B7" s="12" t="n"/>
      <c r="C7" s="12" t="n"/>
      <c r="D7" s="12" t="n"/>
      <c r="E7" s="17" t="n"/>
      <c r="F7" s="17" t="n"/>
      <c r="G7" s="12" t="n"/>
      <c r="H7" s="12" t="n"/>
      <c r="I7" s="12" t="n"/>
    </row>
    <row r="8">
      <c r="A8" s="16" t="n"/>
      <c r="B8" s="12" t="n"/>
      <c r="C8" s="12" t="n"/>
      <c r="D8" s="12" t="n"/>
      <c r="E8" s="17" t="n"/>
      <c r="F8" s="17" t="n"/>
      <c r="G8" s="12" t="n"/>
      <c r="H8" s="12" t="n"/>
      <c r="I8" s="12" t="n"/>
    </row>
    <row r="9">
      <c r="A9" s="16" t="n"/>
      <c r="B9" s="12" t="n"/>
      <c r="C9" s="12" t="n"/>
      <c r="D9" s="12" t="n"/>
      <c r="E9" s="17" t="n"/>
      <c r="F9" s="17" t="n"/>
      <c r="G9" s="12" t="n"/>
      <c r="H9" s="12" t="n"/>
      <c r="I9" s="12" t="n"/>
    </row>
    <row r="10">
      <c r="A10" s="16" t="n"/>
      <c r="B10" s="12" t="n"/>
      <c r="C10" s="12" t="n"/>
      <c r="D10" s="12" t="n"/>
      <c r="E10" s="17" t="n"/>
      <c r="F10" s="17" t="n"/>
      <c r="G10" s="12" t="n"/>
      <c r="H10" s="12" t="n"/>
      <c r="I10" s="12" t="n"/>
    </row>
    <row r="11">
      <c r="A11" s="16" t="n"/>
      <c r="B11" s="12" t="n"/>
      <c r="C11" s="12" t="n"/>
      <c r="D11" s="12" t="n"/>
      <c r="E11" s="17" t="n"/>
      <c r="F11" s="17" t="n"/>
      <c r="G11" s="12" t="n"/>
      <c r="H11" s="12" t="n"/>
      <c r="I11" s="12" t="n"/>
    </row>
    <row r="12">
      <c r="A12" s="16" t="n"/>
      <c r="B12" s="12" t="n"/>
      <c r="C12" s="12" t="n"/>
      <c r="D12" s="12" t="n"/>
      <c r="E12" s="17" t="n"/>
      <c r="F12" s="17" t="n"/>
      <c r="G12" s="12" t="n"/>
      <c r="H12" s="12" t="n"/>
      <c r="I12" s="12" t="n"/>
    </row>
    <row r="13">
      <c r="A13" s="16" t="n"/>
      <c r="B13" s="12" t="n"/>
      <c r="C13" s="12" t="n"/>
      <c r="D13" s="12" t="n"/>
      <c r="E13" s="17" t="n"/>
      <c r="F13" s="17" t="n"/>
      <c r="G13" s="12" t="n"/>
      <c r="H13" s="12" t="n"/>
      <c r="I13" s="12" t="n"/>
    </row>
    <row r="14">
      <c r="A14" s="16" t="n"/>
      <c r="B14" s="12" t="n"/>
      <c r="C14" s="12" t="n"/>
      <c r="D14" s="12" t="n"/>
      <c r="E14" s="17" t="n"/>
      <c r="F14" s="17" t="n"/>
      <c r="G14" s="12" t="n"/>
      <c r="H14" s="12" t="n"/>
      <c r="I14" s="12" t="n"/>
    </row>
    <row r="15">
      <c r="A15" s="16" t="n"/>
      <c r="B15" s="12" t="n"/>
      <c r="C15" s="12" t="n"/>
      <c r="D15" s="12" t="n"/>
      <c r="E15" s="17" t="n"/>
      <c r="F15" s="17" t="n"/>
      <c r="G15" s="12" t="n"/>
      <c r="H15" s="12" t="n"/>
      <c r="I15" s="12" t="n"/>
    </row>
    <row r="16">
      <c r="A16" s="16" t="n"/>
      <c r="B16" s="12" t="n"/>
      <c r="C16" s="12" t="n"/>
      <c r="D16" s="12" t="n"/>
      <c r="E16" s="17" t="n"/>
      <c r="F16" s="17" t="n"/>
      <c r="G16" s="12" t="n"/>
      <c r="H16" s="12" t="n"/>
      <c r="I16" s="12" t="n"/>
    </row>
    <row r="17">
      <c r="A17" s="16" t="n"/>
      <c r="B17" s="12" t="n"/>
      <c r="C17" s="12" t="n"/>
      <c r="D17" s="12" t="n"/>
      <c r="E17" s="17" t="n"/>
      <c r="F17" s="17" t="n"/>
      <c r="G17" s="12" t="n"/>
      <c r="H17" s="12" t="n"/>
      <c r="I17" s="12" t="n"/>
    </row>
    <row r="18">
      <c r="A18" s="16" t="n"/>
      <c r="B18" s="12" t="n"/>
      <c r="C18" s="12" t="n"/>
      <c r="D18" s="12" t="n"/>
      <c r="E18" s="17" t="n"/>
      <c r="F18" s="17" t="n"/>
      <c r="G18" s="12" t="n"/>
      <c r="H18" s="12" t="n"/>
      <c r="I18" s="12" t="n"/>
    </row>
    <row r="19">
      <c r="A19" s="16" t="n"/>
      <c r="B19" s="12" t="n"/>
      <c r="C19" s="12" t="n"/>
      <c r="D19" s="12" t="n"/>
      <c r="E19" s="17" t="n"/>
      <c r="F19" s="17" t="n"/>
      <c r="G19" s="12" t="n"/>
      <c r="H19" s="12" t="n"/>
      <c r="I19" s="12" t="n"/>
    </row>
    <row r="20">
      <c r="A20" s="16" t="n"/>
      <c r="B20" s="12" t="n"/>
      <c r="C20" s="12" t="n"/>
      <c r="D20" s="12" t="n"/>
      <c r="E20" s="17" t="n"/>
      <c r="F20" s="17" t="n"/>
      <c r="G20" s="12" t="n"/>
      <c r="H20" s="12" t="n"/>
      <c r="I20" s="12" t="n"/>
    </row>
    <row r="21">
      <c r="A21" s="16" t="n"/>
      <c r="B21" s="12" t="n"/>
      <c r="C21" s="12" t="n"/>
      <c r="D21" s="12" t="n"/>
      <c r="E21" s="17" t="n"/>
      <c r="F21" s="17" t="n"/>
      <c r="G21" s="12" t="n"/>
      <c r="H21" s="12" t="n"/>
      <c r="I21" s="12" t="n"/>
    </row>
    <row r="22">
      <c r="A22" s="16" t="n"/>
      <c r="B22" s="12" t="n"/>
      <c r="C22" s="12" t="n"/>
      <c r="D22" s="12" t="n"/>
      <c r="E22" s="17" t="n"/>
      <c r="F22" s="17" t="n"/>
      <c r="G22" s="12" t="n"/>
      <c r="H22" s="12" t="n"/>
      <c r="I22" s="12" t="n"/>
    </row>
    <row r="23">
      <c r="A23" s="16" t="n"/>
      <c r="B23" s="12" t="n"/>
      <c r="C23" s="12" t="n"/>
      <c r="D23" s="12" t="n"/>
      <c r="E23" s="17" t="n"/>
      <c r="F23" s="17" t="n"/>
      <c r="G23" s="12" t="n"/>
      <c r="H23" s="12" t="n"/>
      <c r="I23" s="12" t="n"/>
    </row>
    <row r="24">
      <c r="A24" s="16" t="n"/>
      <c r="B24" s="12" t="n"/>
      <c r="C24" s="12" t="n"/>
      <c r="D24" s="12" t="n"/>
      <c r="E24" s="17" t="n"/>
      <c r="F24" s="17" t="n"/>
      <c r="G24" s="12" t="n"/>
      <c r="H24" s="12" t="n"/>
      <c r="I24" s="12" t="n"/>
    </row>
    <row r="25">
      <c r="A25" s="16" t="n"/>
      <c r="B25" s="12" t="n"/>
      <c r="C25" s="12" t="n"/>
      <c r="D25" s="12" t="n"/>
      <c r="E25" s="17" t="n"/>
      <c r="F25" s="17" t="n"/>
      <c r="G25" s="12" t="n"/>
      <c r="H25" s="12" t="n"/>
      <c r="I25" s="12" t="n"/>
    </row>
    <row r="26">
      <c r="A26" s="16" t="n"/>
      <c r="B26" s="12" t="n"/>
      <c r="C26" s="12" t="n"/>
      <c r="D26" s="12" t="n"/>
      <c r="E26" s="17" t="n"/>
      <c r="F26" s="17" t="n"/>
      <c r="G26" s="12" t="n"/>
      <c r="H26" s="12" t="n"/>
      <c r="I26" s="12" t="n"/>
    </row>
    <row r="27">
      <c r="A27" s="16" t="n"/>
      <c r="B27" s="12" t="n"/>
      <c r="C27" s="12" t="n"/>
      <c r="D27" s="12" t="n"/>
      <c r="E27" s="17" t="n"/>
      <c r="F27" s="17" t="n"/>
      <c r="G27" s="12" t="n"/>
      <c r="H27" s="12" t="n"/>
      <c r="I27" s="12" t="n"/>
    </row>
    <row r="28">
      <c r="A28" s="16" t="n"/>
      <c r="B28" s="12" t="n"/>
      <c r="C28" s="12" t="n"/>
      <c r="D28" s="12" t="n"/>
      <c r="E28" s="17" t="n"/>
      <c r="F28" s="17" t="n"/>
      <c r="G28" s="12" t="n"/>
      <c r="H28" s="12" t="n"/>
      <c r="I28" s="12" t="n"/>
    </row>
    <row r="29">
      <c r="A29" s="16" t="n"/>
      <c r="B29" s="12" t="n"/>
      <c r="C29" s="12" t="n"/>
      <c r="D29" s="12" t="n"/>
      <c r="E29" s="17" t="n"/>
      <c r="F29" s="17" t="n"/>
      <c r="G29" s="12" t="n"/>
      <c r="H29" s="12" t="n"/>
      <c r="I29" s="12" t="n"/>
    </row>
    <row r="30">
      <c r="A30" s="16" t="n"/>
      <c r="B30" s="12" t="n"/>
      <c r="C30" s="12" t="n"/>
      <c r="D30" s="12" t="n"/>
      <c r="E30" s="17" t="n"/>
      <c r="F30" s="17" t="n"/>
      <c r="G30" s="12" t="n"/>
      <c r="H30" s="12" t="n"/>
      <c r="I30" s="12" t="n"/>
    </row>
    <row r="31">
      <c r="A31" s="16" t="n"/>
      <c r="B31" s="12" t="n"/>
      <c r="C31" s="12" t="n"/>
      <c r="D31" s="12" t="n"/>
      <c r="E31" s="17" t="n"/>
      <c r="F31" s="17" t="n"/>
      <c r="G31" s="12" t="n"/>
      <c r="H31" s="12" t="n"/>
      <c r="I31" s="12" t="n"/>
    </row>
    <row r="32">
      <c r="A32" s="16" t="n"/>
      <c r="B32" s="12" t="n"/>
      <c r="C32" s="12" t="n"/>
      <c r="D32" s="12" t="n"/>
      <c r="E32" s="17" t="n"/>
      <c r="F32" s="17" t="n"/>
      <c r="G32" s="12" t="n"/>
      <c r="H32" s="12" t="n"/>
      <c r="I32" s="12" t="n"/>
    </row>
    <row r="33">
      <c r="A33" s="16" t="n"/>
      <c r="B33" s="12" t="n"/>
      <c r="C33" s="12" t="n"/>
      <c r="D33" s="12" t="n"/>
      <c r="E33" s="17" t="n"/>
      <c r="F33" s="17" t="n"/>
      <c r="G33" s="12" t="n"/>
      <c r="H33" s="12" t="n"/>
      <c r="I33" s="12" t="n"/>
    </row>
    <row r="34">
      <c r="A34" s="16" t="n"/>
      <c r="B34" s="12" t="n"/>
      <c r="C34" s="12" t="n"/>
      <c r="D34" s="12" t="n"/>
      <c r="E34" s="17" t="n"/>
      <c r="F34" s="17" t="n"/>
      <c r="G34" s="12" t="n"/>
      <c r="H34" s="12" t="n"/>
      <c r="I34" s="12" t="n"/>
    </row>
    <row r="35">
      <c r="A35" s="16" t="n"/>
      <c r="B35" s="12" t="n"/>
      <c r="C35" s="12" t="n"/>
      <c r="D35" s="12" t="n"/>
      <c r="E35" s="17" t="n"/>
      <c r="F35" s="17" t="n"/>
      <c r="G35" s="12" t="n"/>
      <c r="H35" s="12" t="n"/>
      <c r="I35" s="12" t="n"/>
    </row>
    <row r="36">
      <c r="A36" s="16" t="n"/>
      <c r="B36" s="12" t="n"/>
      <c r="C36" s="12" t="n"/>
      <c r="D36" s="12" t="n"/>
      <c r="E36" s="17" t="n"/>
      <c r="F36" s="17" t="n"/>
      <c r="G36" s="12" t="n"/>
      <c r="H36" s="12" t="n"/>
      <c r="I36" s="12" t="n"/>
    </row>
    <row r="37">
      <c r="A37" s="16" t="n"/>
      <c r="B37" s="12" t="n"/>
      <c r="C37" s="12" t="n"/>
      <c r="D37" s="12" t="n"/>
      <c r="E37" s="17" t="n"/>
      <c r="F37" s="17" t="n"/>
      <c r="G37" s="12" t="n"/>
      <c r="H37" s="12" t="n"/>
      <c r="I37" s="12" t="n"/>
    </row>
    <row r="38">
      <c r="A38" s="16" t="n"/>
      <c r="B38" s="12" t="n"/>
      <c r="C38" s="12" t="n"/>
      <c r="D38" s="12" t="n"/>
      <c r="E38" s="17" t="n"/>
      <c r="F38" s="17" t="n"/>
      <c r="G38" s="12" t="n"/>
      <c r="H38" s="12" t="n"/>
      <c r="I38" s="12" t="n"/>
    </row>
    <row r="39">
      <c r="A39" s="16" t="n"/>
      <c r="B39" s="12" t="n"/>
      <c r="C39" s="12" t="n"/>
      <c r="D39" s="12" t="n"/>
      <c r="E39" s="17" t="n"/>
      <c r="F39" s="17" t="n"/>
      <c r="G39" s="12" t="n"/>
      <c r="H39" s="12" t="n"/>
      <c r="I39" s="12" t="n"/>
    </row>
    <row r="40">
      <c r="A40" s="16" t="n"/>
      <c r="B40" s="12" t="n"/>
      <c r="C40" s="12" t="n"/>
      <c r="D40" s="12" t="n"/>
      <c r="E40" s="17" t="n"/>
      <c r="F40" s="17" t="n"/>
      <c r="G40" s="12" t="n"/>
      <c r="H40" s="12" t="n"/>
      <c r="I40" s="12" t="n"/>
    </row>
    <row r="41">
      <c r="A41" s="16" t="n"/>
      <c r="B41" s="12" t="n"/>
      <c r="C41" s="12" t="n"/>
      <c r="D41" s="12" t="n"/>
      <c r="E41" s="17" t="n"/>
      <c r="F41" s="17" t="n"/>
      <c r="G41" s="12" t="n"/>
      <c r="H41" s="12" t="n"/>
      <c r="I41" s="12" t="n"/>
    </row>
    <row r="42">
      <c r="A42" s="16" t="n"/>
      <c r="B42" s="12" t="n"/>
      <c r="C42" s="12" t="n"/>
      <c r="D42" s="12" t="n"/>
      <c r="E42" s="17" t="n"/>
      <c r="F42" s="17" t="n"/>
      <c r="G42" s="12" t="n"/>
      <c r="H42" s="12" t="n"/>
      <c r="I42" s="12" t="n"/>
    </row>
    <row r="43">
      <c r="A43" s="16" t="n"/>
      <c r="B43" s="12" t="n"/>
      <c r="C43" s="12" t="n"/>
      <c r="D43" s="12" t="n"/>
      <c r="E43" s="17" t="n"/>
      <c r="F43" s="17" t="n"/>
      <c r="G43" s="12" t="n"/>
      <c r="H43" s="12" t="n"/>
      <c r="I43" s="12" t="n"/>
    </row>
    <row r="44">
      <c r="A44" s="16" t="n"/>
      <c r="B44" s="12" t="n"/>
      <c r="C44" s="12" t="n"/>
      <c r="D44" s="12" t="n"/>
      <c r="E44" s="17" t="n"/>
      <c r="F44" s="17" t="n"/>
      <c r="G44" s="12" t="n"/>
      <c r="H44" s="12" t="n"/>
      <c r="I44" s="12" t="n"/>
    </row>
    <row r="45">
      <c r="A45" s="16" t="n"/>
      <c r="B45" s="12" t="n"/>
      <c r="C45" s="12" t="n"/>
      <c r="D45" s="12" t="n"/>
      <c r="E45" s="17" t="n"/>
      <c r="F45" s="17" t="n"/>
      <c r="G45" s="12" t="n"/>
      <c r="H45" s="12" t="n"/>
      <c r="I45" s="12" t="n"/>
    </row>
    <row r="46">
      <c r="A46" s="16" t="n"/>
      <c r="B46" s="12" t="n"/>
      <c r="C46" s="12" t="n"/>
      <c r="D46" s="12" t="n"/>
      <c r="E46" s="17" t="n"/>
      <c r="F46" s="17" t="n"/>
      <c r="G46" s="12" t="n"/>
      <c r="H46" s="12" t="n"/>
      <c r="I46" s="12" t="n"/>
    </row>
    <row r="47">
      <c r="A47" s="16" t="n"/>
      <c r="B47" s="12" t="n"/>
      <c r="C47" s="12" t="n"/>
      <c r="D47" s="12" t="n"/>
      <c r="E47" s="17" t="n"/>
      <c r="F47" s="17" t="n"/>
      <c r="G47" s="12" t="n"/>
      <c r="H47" s="12" t="n"/>
      <c r="I47" s="12" t="n"/>
    </row>
    <row r="48">
      <c r="A48" s="16" t="n"/>
      <c r="B48" s="12" t="n"/>
      <c r="C48" s="12" t="n"/>
      <c r="D48" s="12" t="n"/>
      <c r="E48" s="17" t="n"/>
      <c r="F48" s="17" t="n"/>
      <c r="G48" s="12" t="n"/>
      <c r="H48" s="12" t="n"/>
      <c r="I48" s="12" t="n"/>
    </row>
    <row r="49">
      <c r="A49" s="16" t="n"/>
      <c r="B49" s="12" t="n"/>
      <c r="C49" s="12" t="n"/>
      <c r="D49" s="12" t="n"/>
      <c r="E49" s="17" t="n"/>
      <c r="F49" s="17" t="n"/>
      <c r="G49" s="12" t="n"/>
      <c r="H49" s="12" t="n"/>
      <c r="I49" s="12" t="n"/>
    </row>
    <row r="50">
      <c r="A50" s="16" t="n"/>
      <c r="B50" s="12" t="n"/>
      <c r="C50" s="12" t="n"/>
      <c r="D50" s="12" t="n"/>
      <c r="E50" s="17" t="n"/>
      <c r="F50" s="17" t="n"/>
      <c r="G50" s="12" t="n"/>
      <c r="H50" s="12" t="n"/>
      <c r="I50" s="12" t="n"/>
    </row>
    <row r="51">
      <c r="A51" s="16" t="n"/>
      <c r="B51" s="12" t="n"/>
      <c r="C51" s="12" t="n"/>
      <c r="D51" s="12" t="n"/>
      <c r="E51" s="17" t="n"/>
      <c r="F51" s="17" t="n"/>
      <c r="G51" s="12" t="n"/>
      <c r="H51" s="12" t="n"/>
      <c r="I51" s="12" t="n"/>
    </row>
    <row r="52">
      <c r="A52" s="16" t="n"/>
      <c r="B52" s="12" t="n"/>
      <c r="C52" s="12" t="n"/>
      <c r="D52" s="12" t="n"/>
      <c r="E52" s="17" t="n"/>
      <c r="F52" s="17" t="n"/>
      <c r="G52" s="12" t="n"/>
      <c r="H52" s="12" t="n"/>
      <c r="I52" s="12" t="n"/>
    </row>
    <row r="53">
      <c r="A53" s="16" t="n"/>
      <c r="B53" s="12" t="n"/>
      <c r="C53" s="12" t="n"/>
      <c r="D53" s="12" t="n"/>
      <c r="E53" s="17" t="n"/>
      <c r="F53" s="17" t="n"/>
      <c r="G53" s="12" t="n"/>
      <c r="H53" s="12" t="n"/>
      <c r="I53" s="12" t="n"/>
    </row>
    <row r="54">
      <c r="A54" s="16" t="n"/>
      <c r="B54" s="12" t="n"/>
      <c r="C54" s="12" t="n"/>
      <c r="D54" s="12" t="n"/>
      <c r="E54" s="17" t="n"/>
      <c r="F54" s="17" t="n"/>
      <c r="G54" s="12" t="n"/>
      <c r="H54" s="12" t="n"/>
      <c r="I54" s="12" t="n"/>
    </row>
    <row r="55">
      <c r="A55" s="16" t="n"/>
      <c r="B55" s="12" t="n"/>
      <c r="C55" s="12" t="n"/>
      <c r="D55" s="12" t="n"/>
      <c r="E55" s="17" t="n"/>
      <c r="F55" s="17" t="n"/>
      <c r="G55" s="12" t="n"/>
      <c r="H55" s="12" t="n"/>
      <c r="I55" s="12" t="n"/>
    </row>
    <row r="56">
      <c r="A56" s="16" t="n"/>
      <c r="B56" s="12" t="n"/>
      <c r="C56" s="12" t="n"/>
      <c r="D56" s="12" t="n"/>
      <c r="E56" s="17" t="n"/>
      <c r="F56" s="17" t="n"/>
      <c r="G56" s="12" t="n"/>
      <c r="H56" s="12" t="n"/>
      <c r="I56" s="12" t="n"/>
    </row>
    <row r="57">
      <c r="A57" s="16" t="n"/>
      <c r="B57" s="12" t="n"/>
      <c r="C57" s="12" t="n"/>
      <c r="D57" s="12" t="n"/>
      <c r="E57" s="17" t="n"/>
      <c r="F57" s="17" t="n"/>
      <c r="G57" s="12" t="n"/>
      <c r="H57" s="12" t="n"/>
      <c r="I57" s="12" t="n"/>
    </row>
    <row r="58">
      <c r="A58" s="16" t="n"/>
      <c r="B58" s="12" t="n"/>
      <c r="C58" s="12" t="n"/>
      <c r="D58" s="12" t="n"/>
      <c r="E58" s="17" t="n"/>
      <c r="F58" s="17" t="n"/>
      <c r="G58" s="12" t="n"/>
      <c r="H58" s="12" t="n"/>
      <c r="I58" s="12" t="n"/>
    </row>
    <row r="59">
      <c r="A59" s="16" t="n"/>
      <c r="B59" s="12" t="n"/>
      <c r="C59" s="12" t="n"/>
      <c r="D59" s="12" t="n"/>
      <c r="E59" s="17" t="n"/>
      <c r="F59" s="17" t="n"/>
      <c r="G59" s="12" t="n"/>
      <c r="H59" s="12" t="n"/>
      <c r="I59" s="12" t="n"/>
    </row>
    <row r="60">
      <c r="A60" s="16" t="n"/>
      <c r="B60" s="12" t="n"/>
      <c r="C60" s="12" t="n"/>
      <c r="D60" s="12" t="n"/>
      <c r="E60" s="17" t="n"/>
      <c r="F60" s="17" t="n"/>
      <c r="G60" s="12" t="n"/>
      <c r="H60" s="12" t="n"/>
      <c r="I60" s="12" t="n"/>
    </row>
    <row r="61">
      <c r="A61" s="16" t="n"/>
      <c r="B61" s="12" t="n"/>
      <c r="C61" s="12" t="n"/>
      <c r="D61" s="12" t="n"/>
      <c r="E61" s="17" t="n"/>
      <c r="F61" s="17" t="n"/>
      <c r="G61" s="12" t="n"/>
      <c r="H61" s="12" t="n"/>
      <c r="I61" s="12" t="n"/>
    </row>
    <row r="62">
      <c r="A62" s="16" t="n"/>
      <c r="B62" s="12" t="n"/>
      <c r="C62" s="12" t="n"/>
      <c r="D62" s="12" t="n"/>
      <c r="E62" s="17" t="n"/>
      <c r="F62" s="17" t="n"/>
      <c r="G62" s="12" t="n"/>
      <c r="H62" s="12" t="n"/>
      <c r="I62" s="12" t="n"/>
    </row>
    <row r="63">
      <c r="A63" s="16" t="n"/>
      <c r="B63" s="12" t="n"/>
      <c r="C63" s="12" t="n"/>
      <c r="D63" s="12" t="n"/>
      <c r="E63" s="17" t="n"/>
      <c r="F63" s="17" t="n"/>
      <c r="G63" s="12" t="n"/>
      <c r="H63" s="12" t="n"/>
      <c r="I63" s="12" t="n"/>
    </row>
    <row r="64">
      <c r="A64" s="16" t="n"/>
      <c r="B64" s="12" t="n"/>
      <c r="C64" s="12" t="n"/>
      <c r="D64" s="12" t="n"/>
      <c r="E64" s="17" t="n"/>
      <c r="F64" s="17" t="n"/>
      <c r="G64" s="12" t="n"/>
      <c r="H64" s="12" t="n"/>
      <c r="I64" s="12" t="n"/>
    </row>
    <row r="65">
      <c r="A65" s="16" t="n"/>
      <c r="B65" s="12" t="n"/>
      <c r="C65" s="12" t="n"/>
      <c r="D65" s="12" t="n"/>
      <c r="E65" s="17" t="n"/>
      <c r="F65" s="17" t="n"/>
      <c r="G65" s="12" t="n"/>
      <c r="H65" s="12" t="n"/>
      <c r="I65" s="12" t="n"/>
    </row>
    <row r="66">
      <c r="A66" s="16" t="n"/>
      <c r="B66" s="12" t="n"/>
      <c r="C66" s="12" t="n"/>
      <c r="D66" s="12" t="n"/>
      <c r="E66" s="17" t="n"/>
      <c r="F66" s="17" t="n"/>
      <c r="G66" s="12" t="n"/>
      <c r="H66" s="12" t="n"/>
      <c r="I66" s="12" t="n"/>
    </row>
    <row r="67">
      <c r="A67" s="16" t="n"/>
      <c r="B67" s="12" t="n"/>
      <c r="C67" s="12" t="n"/>
      <c r="D67" s="12" t="n"/>
      <c r="E67" s="17" t="n"/>
      <c r="F67" s="17" t="n"/>
      <c r="G67" s="12" t="n"/>
      <c r="H67" s="12" t="n"/>
      <c r="I67" s="12" t="n"/>
    </row>
    <row r="68">
      <c r="A68" s="16" t="n"/>
      <c r="B68" s="12" t="n"/>
      <c r="C68" s="12" t="n"/>
      <c r="D68" s="12" t="n"/>
      <c r="E68" s="17" t="n"/>
      <c r="F68" s="17" t="n"/>
      <c r="G68" s="12" t="n"/>
      <c r="H68" s="12" t="n"/>
      <c r="I68" s="12" t="n"/>
    </row>
    <row r="69">
      <c r="A69" s="16" t="n"/>
      <c r="B69" s="12" t="n"/>
      <c r="C69" s="12" t="n"/>
      <c r="D69" s="12" t="n"/>
      <c r="E69" s="17" t="n"/>
      <c r="F69" s="17" t="n"/>
      <c r="G69" s="12" t="n"/>
      <c r="H69" s="12" t="n"/>
      <c r="I69" s="12" t="n"/>
    </row>
    <row r="70">
      <c r="A70" s="16" t="n"/>
      <c r="B70" s="12" t="n"/>
      <c r="C70" s="12" t="n"/>
      <c r="D70" s="12" t="n"/>
      <c r="E70" s="17" t="n"/>
      <c r="F70" s="17" t="n"/>
      <c r="G70" s="12" t="n"/>
      <c r="H70" s="12" t="n"/>
      <c r="I70" s="12" t="n"/>
    </row>
    <row r="71">
      <c r="A71" s="16" t="n"/>
      <c r="B71" s="12" t="n"/>
      <c r="C71" s="12" t="n"/>
      <c r="D71" s="12" t="n"/>
      <c r="E71" s="17" t="n"/>
      <c r="F71" s="17" t="n"/>
      <c r="G71" s="12" t="n"/>
      <c r="H71" s="12" t="n"/>
      <c r="I71" s="12" t="n"/>
    </row>
    <row r="72">
      <c r="A72" s="16" t="n"/>
      <c r="B72" s="12" t="n"/>
      <c r="C72" s="12" t="n"/>
      <c r="D72" s="12" t="n"/>
      <c r="E72" s="17" t="n"/>
      <c r="F72" s="17" t="n"/>
      <c r="G72" s="12" t="n"/>
      <c r="H72" s="12" t="n"/>
      <c r="I72" s="12" t="n"/>
    </row>
    <row r="73">
      <c r="A73" s="16" t="n"/>
      <c r="B73" s="12" t="n"/>
      <c r="C73" s="12" t="n"/>
      <c r="D73" s="12" t="n"/>
      <c r="E73" s="17" t="n"/>
      <c r="F73" s="17" t="n"/>
      <c r="G73" s="12" t="n"/>
      <c r="H73" s="12" t="n"/>
      <c r="I73" s="12" t="n"/>
    </row>
    <row r="74">
      <c r="A74" s="16" t="n"/>
      <c r="B74" s="12" t="n"/>
      <c r="C74" s="12" t="n"/>
      <c r="D74" s="12" t="n"/>
      <c r="E74" s="17" t="n"/>
      <c r="F74" s="17" t="n"/>
      <c r="G74" s="12" t="n"/>
      <c r="H74" s="12" t="n"/>
      <c r="I74" s="12" t="n"/>
    </row>
    <row r="75">
      <c r="A75" s="16" t="n"/>
      <c r="B75" s="12" t="n"/>
      <c r="C75" s="12" t="n"/>
      <c r="D75" s="12" t="n"/>
      <c r="E75" s="17" t="n"/>
      <c r="F75" s="17" t="n"/>
      <c r="G75" s="12" t="n"/>
      <c r="H75" s="12" t="n"/>
      <c r="I75" s="12" t="n"/>
    </row>
    <row r="76">
      <c r="A76" s="16" t="n"/>
      <c r="B76" s="12" t="n"/>
      <c r="C76" s="12" t="n"/>
      <c r="D76" s="12" t="n"/>
      <c r="E76" s="17" t="n"/>
      <c r="F76" s="17" t="n"/>
      <c r="G76" s="12" t="n"/>
      <c r="H76" s="12" t="n"/>
      <c r="I76" s="12" t="n"/>
    </row>
    <row r="77">
      <c r="A77" s="16" t="n"/>
      <c r="B77" s="12" t="n"/>
      <c r="C77" s="12" t="n"/>
      <c r="D77" s="12" t="n"/>
      <c r="E77" s="17" t="n"/>
      <c r="F77" s="17" t="n"/>
      <c r="G77" s="12" t="n"/>
      <c r="H77" s="12" t="n"/>
      <c r="I77" s="12" t="n"/>
    </row>
    <row r="78">
      <c r="A78" s="16" t="n"/>
      <c r="B78" s="12" t="n"/>
      <c r="C78" s="12" t="n"/>
      <c r="D78" s="12" t="n"/>
      <c r="E78" s="17" t="n"/>
      <c r="F78" s="17" t="n"/>
      <c r="G78" s="12" t="n"/>
      <c r="H78" s="12" t="n"/>
      <c r="I78" s="12" t="n"/>
    </row>
    <row r="79">
      <c r="A79" s="16" t="n"/>
      <c r="B79" s="12" t="n"/>
      <c r="C79" s="12" t="n"/>
      <c r="D79" s="12" t="n"/>
      <c r="E79" s="17" t="n"/>
      <c r="F79" s="17" t="n"/>
      <c r="G79" s="12" t="n"/>
      <c r="H79" s="12" t="n"/>
      <c r="I79" s="12" t="n"/>
    </row>
    <row r="80">
      <c r="A80" s="16" t="n"/>
      <c r="B80" s="12" t="n"/>
      <c r="C80" s="12" t="n"/>
      <c r="D80" s="12" t="n"/>
      <c r="E80" s="17" t="n"/>
      <c r="F80" s="17" t="n"/>
      <c r="G80" s="12" t="n"/>
      <c r="H80" s="12" t="n"/>
      <c r="I80" s="12" t="n"/>
    </row>
    <row r="81">
      <c r="A81" s="16" t="n"/>
      <c r="B81" s="12" t="n"/>
      <c r="C81" s="12" t="n"/>
      <c r="D81" s="12" t="n"/>
      <c r="E81" s="17" t="n"/>
      <c r="F81" s="17" t="n"/>
      <c r="G81" s="12" t="n"/>
      <c r="H81" s="12" t="n"/>
      <c r="I81" s="12" t="n"/>
    </row>
    <row r="82">
      <c r="A82" s="16" t="n"/>
      <c r="B82" s="12" t="n"/>
      <c r="C82" s="12" t="n"/>
      <c r="D82" s="12" t="n"/>
      <c r="E82" s="17" t="n"/>
      <c r="F82" s="17" t="n"/>
      <c r="G82" s="12" t="n"/>
      <c r="H82" s="12" t="n"/>
      <c r="I82" s="12" t="n"/>
    </row>
    <row r="83">
      <c r="A83" s="16" t="n"/>
      <c r="B83" s="12" t="n"/>
      <c r="C83" s="12" t="n"/>
      <c r="D83" s="12" t="n"/>
      <c r="E83" s="17" t="n"/>
      <c r="F83" s="17" t="n"/>
      <c r="G83" s="12" t="n"/>
      <c r="H83" s="12" t="n"/>
      <c r="I83" s="12" t="n"/>
    </row>
    <row r="84">
      <c r="A84" s="16" t="n"/>
      <c r="B84" s="12" t="n"/>
      <c r="C84" s="12" t="n"/>
      <c r="D84" s="12" t="n"/>
      <c r="E84" s="17" t="n"/>
      <c r="F84" s="17" t="n"/>
      <c r="G84" s="12" t="n"/>
      <c r="H84" s="12" t="n"/>
      <c r="I84" s="12" t="n"/>
    </row>
    <row r="85">
      <c r="A85" s="16" t="n"/>
      <c r="B85" s="12" t="n"/>
      <c r="C85" s="12" t="n"/>
      <c r="D85" s="12" t="n"/>
      <c r="E85" s="17" t="n"/>
      <c r="F85" s="17" t="n"/>
      <c r="G85" s="12" t="n"/>
      <c r="H85" s="12" t="n"/>
      <c r="I85" s="12" t="n"/>
    </row>
    <row r="86">
      <c r="A86" s="16" t="n"/>
      <c r="B86" s="12" t="n"/>
      <c r="C86" s="12" t="n"/>
      <c r="D86" s="12" t="n"/>
      <c r="E86" s="17" t="n"/>
      <c r="F86" s="17" t="n"/>
      <c r="G86" s="12" t="n"/>
      <c r="H86" s="12" t="n"/>
      <c r="I86" s="12" t="n"/>
    </row>
    <row r="87">
      <c r="A87" s="16" t="n"/>
      <c r="B87" s="12" t="n"/>
      <c r="C87" s="12" t="n"/>
      <c r="D87" s="12" t="n"/>
      <c r="E87" s="17" t="n"/>
      <c r="F87" s="17" t="n"/>
      <c r="G87" s="12" t="n"/>
      <c r="H87" s="12" t="n"/>
      <c r="I87" s="12" t="n"/>
    </row>
    <row r="88">
      <c r="A88" s="16" t="n"/>
      <c r="B88" s="12" t="n"/>
      <c r="C88" s="12" t="n"/>
      <c r="D88" s="12" t="n"/>
      <c r="E88" s="17" t="n"/>
      <c r="F88" s="17" t="n"/>
      <c r="G88" s="12" t="n"/>
      <c r="H88" s="12" t="n"/>
      <c r="I88" s="12" t="n"/>
    </row>
    <row r="89">
      <c r="A89" s="16" t="n"/>
      <c r="B89" s="12" t="n"/>
      <c r="C89" s="12" t="n"/>
      <c r="D89" s="12" t="n"/>
      <c r="E89" s="17" t="n"/>
      <c r="F89" s="17" t="n"/>
      <c r="G89" s="12" t="n"/>
      <c r="H89" s="12" t="n"/>
      <c r="I89" s="12" t="n"/>
    </row>
    <row r="90">
      <c r="A90" s="16" t="n"/>
      <c r="B90" s="12" t="n"/>
      <c r="C90" s="12" t="n"/>
      <c r="D90" s="12" t="n"/>
      <c r="E90" s="17" t="n"/>
      <c r="F90" s="17" t="n"/>
      <c r="G90" s="12" t="n"/>
      <c r="H90" s="12" t="n"/>
      <c r="I90" s="12" t="n"/>
    </row>
    <row r="91">
      <c r="A91" s="16" t="n"/>
      <c r="B91" s="12" t="n"/>
      <c r="C91" s="12" t="n"/>
      <c r="D91" s="12" t="n"/>
      <c r="E91" s="17" t="n"/>
      <c r="F91" s="17" t="n"/>
      <c r="G91" s="12" t="n"/>
      <c r="H91" s="12" t="n"/>
      <c r="I91" s="12" t="n"/>
    </row>
    <row r="92">
      <c r="A92" s="16" t="n"/>
      <c r="B92" s="12" t="n"/>
      <c r="C92" s="12" t="n"/>
      <c r="D92" s="12" t="n"/>
      <c r="E92" s="17" t="n"/>
      <c r="F92" s="17" t="n"/>
      <c r="G92" s="12" t="n"/>
      <c r="H92" s="12" t="n"/>
      <c r="I92" s="12" t="n"/>
    </row>
    <row r="93">
      <c r="A93" s="16" t="n"/>
      <c r="B93" s="12" t="n"/>
      <c r="C93" s="12" t="n"/>
      <c r="D93" s="12" t="n"/>
      <c r="E93" s="17" t="n"/>
      <c r="F93" s="17" t="n"/>
      <c r="G93" s="12" t="n"/>
      <c r="H93" s="12" t="n"/>
      <c r="I93" s="12" t="n"/>
    </row>
    <row r="94">
      <c r="A94" s="16" t="n"/>
      <c r="B94" s="12" t="n"/>
      <c r="C94" s="12" t="n"/>
      <c r="D94" s="12" t="n"/>
      <c r="E94" s="17" t="n"/>
      <c r="F94" s="17" t="n"/>
      <c r="G94" s="12" t="n"/>
      <c r="H94" s="12" t="n"/>
      <c r="I94" s="12" t="n"/>
    </row>
    <row r="95">
      <c r="A95" s="16" t="n"/>
      <c r="B95" s="12" t="n"/>
      <c r="C95" s="12" t="n"/>
      <c r="D95" s="12" t="n"/>
      <c r="E95" s="17" t="n"/>
      <c r="F95" s="17" t="n"/>
      <c r="G95" s="12" t="n"/>
      <c r="H95" s="12" t="n"/>
      <c r="I95" s="12" t="n"/>
    </row>
    <row r="96">
      <c r="A96" s="16" t="n"/>
      <c r="B96" s="12" t="n"/>
      <c r="C96" s="12" t="n"/>
      <c r="D96" s="12" t="n"/>
      <c r="E96" s="17" t="n"/>
      <c r="F96" s="17" t="n"/>
      <c r="G96" s="12" t="n"/>
      <c r="H96" s="12" t="n"/>
      <c r="I96" s="12" t="n"/>
    </row>
    <row r="97">
      <c r="A97" s="16" t="n"/>
      <c r="B97" s="12" t="n"/>
      <c r="C97" s="12" t="n"/>
      <c r="D97" s="12" t="n"/>
      <c r="E97" s="17" t="n"/>
      <c r="F97" s="17" t="n"/>
      <c r="G97" s="12" t="n"/>
      <c r="H97" s="12" t="n"/>
      <c r="I97" s="12" t="n"/>
    </row>
    <row r="98">
      <c r="A98" s="16" t="n"/>
      <c r="B98" s="12" t="n"/>
      <c r="C98" s="12" t="n"/>
      <c r="D98" s="12" t="n"/>
      <c r="E98" s="17" t="n"/>
      <c r="F98" s="17" t="n"/>
      <c r="G98" s="12" t="n"/>
      <c r="H98" s="12" t="n"/>
      <c r="I98" s="12" t="n"/>
    </row>
    <row r="99">
      <c r="A99" s="16" t="n"/>
      <c r="B99" s="12" t="n"/>
      <c r="C99" s="12" t="n"/>
      <c r="D99" s="12" t="n"/>
      <c r="E99" s="17" t="n"/>
      <c r="F99" s="17" t="n"/>
      <c r="G99" s="12" t="n"/>
      <c r="H99" s="12" t="n"/>
      <c r="I99" s="12" t="n"/>
    </row>
    <row r="100">
      <c r="A100" s="16" t="n"/>
      <c r="B100" s="12" t="n"/>
      <c r="C100" s="12" t="n"/>
      <c r="D100" s="12" t="n"/>
      <c r="E100" s="17" t="n"/>
      <c r="F100" s="17" t="n"/>
      <c r="G100" s="12" t="n"/>
      <c r="H100" s="12" t="n"/>
      <c r="I100" s="12" t="n"/>
    </row>
    <row r="101">
      <c r="A101" s="16" t="n"/>
      <c r="B101" s="12" t="n"/>
      <c r="C101" s="12" t="n"/>
      <c r="D101" s="12" t="n"/>
      <c r="E101" s="17" t="n"/>
      <c r="F101" s="17" t="n"/>
      <c r="G101" s="12" t="n"/>
      <c r="H101" s="12" t="n"/>
      <c r="I101" s="12" t="n"/>
    </row>
    <row r="102">
      <c r="A102" s="16" t="n"/>
      <c r="B102" s="12" t="n"/>
      <c r="C102" s="12" t="n"/>
      <c r="D102" s="12" t="n"/>
      <c r="E102" s="17" t="n"/>
      <c r="F102" s="17" t="n"/>
      <c r="G102" s="12" t="n"/>
      <c r="H102" s="12" t="n"/>
      <c r="I102" s="12" t="n"/>
    </row>
    <row r="103">
      <c r="A103" s="16" t="n"/>
      <c r="B103" s="12" t="n"/>
      <c r="C103" s="12" t="n"/>
      <c r="D103" s="12" t="n"/>
      <c r="E103" s="17" t="n"/>
      <c r="F103" s="17" t="n"/>
      <c r="G103" s="12" t="n"/>
      <c r="H103" s="12" t="n"/>
      <c r="I103" s="12" t="n"/>
    </row>
    <row r="104">
      <c r="A104" s="16" t="n"/>
      <c r="B104" s="12" t="n"/>
      <c r="C104" s="12" t="n"/>
      <c r="D104" s="12" t="n"/>
      <c r="E104" s="17" t="n"/>
      <c r="F104" s="17" t="n"/>
      <c r="G104" s="12" t="n"/>
      <c r="H104" s="12" t="n"/>
      <c r="I104" s="12" t="n"/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Starter</t>
        </is>
      </c>
      <c r="B1" t="inlineStr">
        <is>
          <t>Active</t>
        </is>
      </c>
      <c r="C1" t="inlineStr">
        <is>
          <t>Available</t>
        </is>
      </c>
      <c r="D1" t="inlineStr">
        <is>
          <t>League Match</t>
        </is>
      </c>
      <c r="E1" t="inlineStr">
        <is>
          <t>Scheduled</t>
        </is>
      </c>
      <c r="F1" t="inlineStr">
        <is>
          <t>Win</t>
        </is>
      </c>
      <c r="G1" t="inlineStr">
        <is>
          <t>3v3</t>
        </is>
      </c>
    </row>
    <row r="2">
      <c r="A2" t="inlineStr">
        <is>
          <t>Sub</t>
        </is>
      </c>
      <c r="B2" t="inlineStr">
        <is>
          <t>Inactive</t>
        </is>
      </c>
      <c r="C2" t="inlineStr">
        <is>
          <t>Tentative</t>
        </is>
      </c>
      <c r="D2" t="inlineStr">
        <is>
          <t>Scrim</t>
        </is>
      </c>
      <c r="E2" t="inlineStr">
        <is>
          <t>Completed</t>
        </is>
      </c>
      <c r="F2" t="inlineStr">
        <is>
          <t>Loss</t>
        </is>
      </c>
      <c r="G2" t="inlineStr">
        <is>
          <t>2v2</t>
        </is>
      </c>
    </row>
    <row r="3">
      <c r="A3" t="inlineStr">
        <is>
          <t>Coach</t>
        </is>
      </c>
      <c r="B3" t="inlineStr">
        <is>
          <t>Trial</t>
        </is>
      </c>
      <c r="C3" t="inlineStr">
        <is>
          <t>Unavailable</t>
        </is>
      </c>
      <c r="D3" t="inlineStr">
        <is>
          <t>Practice</t>
        </is>
      </c>
      <c r="E3" t="inlineStr">
        <is>
          <t>Postponed</t>
        </is>
      </c>
      <c r="F3" t="inlineStr">
        <is>
          <t>Tie</t>
        </is>
      </c>
      <c r="G3" t="inlineStr">
        <is>
          <t>1v1</t>
        </is>
      </c>
    </row>
    <row r="4">
      <c r="A4" t="inlineStr">
        <is>
          <t>Manager</t>
        </is>
      </c>
      <c r="B4" t="inlineStr">
        <is>
          <t>Benched</t>
        </is>
      </c>
      <c r="D4" t="inlineStr">
        <is>
          <t>Tournament</t>
        </is>
      </c>
      <c r="E4" t="inlineStr">
        <is>
          <t>Cancelled</t>
        </is>
      </c>
    </row>
    <row r="5">
      <c r="D5" t="inlineStr">
        <is>
          <t>Meeting</t>
        </is>
      </c>
    </row>
    <row r="6">
      <c r="D6" t="inlineStr">
        <is>
          <t>VOD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2026-04-29T03:54:04Z</dcterms:created>
  <dcterms:modified xsi:type="dcterms:W3CDTF">2026-04-29T03:54:23Z</dcterms:modified>
</cp:coreProperties>
</file>